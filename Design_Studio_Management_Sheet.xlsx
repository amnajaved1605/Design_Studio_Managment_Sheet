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x\Downloads\"/>
    </mc:Choice>
  </mc:AlternateContent>
  <bookViews>
    <workbookView xWindow="0" yWindow="0" windowWidth="28800" windowHeight="10110" activeTab="2"/>
  </bookViews>
  <sheets>
    <sheet name="Dashboard" sheetId="1" r:id="rId1"/>
    <sheet name="Client Database" sheetId="2" r:id="rId2"/>
    <sheet name="Project Pipeline" sheetId="3" r:id="rId3"/>
    <sheet name="Team Allocation" sheetId="4" r:id="rId4"/>
    <sheet name="Financial Tracking" sheetId="5" r:id="rId5"/>
  </sheets>
  <calcPr calcId="162913"/>
</workbook>
</file>

<file path=xl/calcChain.xml><?xml version="1.0" encoding="utf-8"?>
<calcChain xmlns="http://schemas.openxmlformats.org/spreadsheetml/2006/main">
  <c r="E48" i="5" l="1"/>
  <c r="B52" i="5"/>
  <c r="C52" i="5"/>
  <c r="D52" i="5"/>
  <c r="E52" i="5"/>
  <c r="B5" i="1"/>
  <c r="C4" i="4"/>
  <c r="C2" i="4"/>
  <c r="F3" i="4"/>
  <c r="F2" i="4"/>
  <c r="B4" i="1"/>
  <c r="E51" i="5"/>
  <c r="E50" i="5"/>
  <c r="E49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F5" i="4"/>
  <c r="C5" i="4"/>
  <c r="F4" i="4"/>
  <c r="C3" i="4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D7" i="1"/>
  <c r="D6" i="1"/>
  <c r="B6" i="1"/>
  <c r="D5" i="1"/>
  <c r="D4" i="1"/>
  <c r="D3" i="1"/>
  <c r="B3" i="1"/>
</calcChain>
</file>

<file path=xl/sharedStrings.xml><?xml version="1.0" encoding="utf-8"?>
<sst xmlns="http://schemas.openxmlformats.org/spreadsheetml/2006/main" count="701" uniqueCount="358">
  <si>
    <t>GRAPHIC DESIGN STUDIO MANAGEMENT DASHBOARD</t>
  </si>
  <si>
    <t>KPI Metric</t>
  </si>
  <si>
    <t>Value</t>
  </si>
  <si>
    <t>Status Summary</t>
  </si>
  <si>
    <t>Total Portfolio Budget</t>
  </si>
  <si>
    <t>Briefing</t>
  </si>
  <si>
    <t>Total Amount Collected</t>
  </si>
  <si>
    <t>In Progress</t>
  </si>
  <si>
    <t>Total Outstanding Balance</t>
  </si>
  <si>
    <t>Review</t>
  </si>
  <si>
    <t>Total Projects Tracked</t>
  </si>
  <si>
    <t>Approved</t>
  </si>
  <si>
    <t>On Hold</t>
  </si>
  <si>
    <t>Client ID</t>
  </si>
  <si>
    <t>Client Name</t>
  </si>
  <si>
    <t>Company</t>
  </si>
  <si>
    <t>Contact Email</t>
  </si>
  <si>
    <t>Status</t>
  </si>
  <si>
    <t>Total Projects</t>
  </si>
  <si>
    <t>Lifetime Revenue</t>
  </si>
  <si>
    <t>DS-CLN-001</t>
  </si>
  <si>
    <t>Client Name 1</t>
  </si>
  <si>
    <t>Design Labs LLC 1</t>
  </si>
  <si>
    <t>contact@enterprise1.com</t>
  </si>
  <si>
    <t>Active</t>
  </si>
  <si>
    <t>DS-CLN-002</t>
  </si>
  <si>
    <t>Client Name 2</t>
  </si>
  <si>
    <t>Creative Enterprise 2</t>
  </si>
  <si>
    <t>contact@enterprise2.com</t>
  </si>
  <si>
    <t>DS-CLN-003</t>
  </si>
  <si>
    <t>Client Name 3</t>
  </si>
  <si>
    <t>Design Labs LLC 3</t>
  </si>
  <si>
    <t>contact@enterprise3.com</t>
  </si>
  <si>
    <t>DS-CLN-004</t>
  </si>
  <si>
    <t>Client Name 4</t>
  </si>
  <si>
    <t>Creative Enterprise 4</t>
  </si>
  <si>
    <t>contact@enterprise4.com</t>
  </si>
  <si>
    <t>DS-CLN-005</t>
  </si>
  <si>
    <t>Client Name 5</t>
  </si>
  <si>
    <t>Design Labs LLC 5</t>
  </si>
  <si>
    <t>contact@enterprise5.com</t>
  </si>
  <si>
    <t>DS-CLN-006</t>
  </si>
  <si>
    <t>Client Name 6</t>
  </si>
  <si>
    <t>Creative Enterprise 6</t>
  </si>
  <si>
    <t>contact@enterprise6.com</t>
  </si>
  <si>
    <t>DS-CLN-007</t>
  </si>
  <si>
    <t>Client Name 7</t>
  </si>
  <si>
    <t>Design Labs LLC 7</t>
  </si>
  <si>
    <t>contact@enterprise7.com</t>
  </si>
  <si>
    <t>Inactive</t>
  </si>
  <si>
    <t>DS-CLN-008</t>
  </si>
  <si>
    <t>Client Name 8</t>
  </si>
  <si>
    <t>Creative Enterprise 8</t>
  </si>
  <si>
    <t>contact@enterprise8.com</t>
  </si>
  <si>
    <t>DS-CLN-009</t>
  </si>
  <si>
    <t>Client Name 9</t>
  </si>
  <si>
    <t>Design Labs LLC 9</t>
  </si>
  <si>
    <t>contact@enterprise9.com</t>
  </si>
  <si>
    <t>DS-CLN-010</t>
  </si>
  <si>
    <t>Client Name 10</t>
  </si>
  <si>
    <t>Creative Enterprise 10</t>
  </si>
  <si>
    <t>contact@enterprise10.com</t>
  </si>
  <si>
    <t>DS-CLN-011</t>
  </si>
  <si>
    <t>Client Name 11</t>
  </si>
  <si>
    <t>Design Labs LLC 11</t>
  </si>
  <si>
    <t>contact@enterprise11.com</t>
  </si>
  <si>
    <t>DS-CLN-012</t>
  </si>
  <si>
    <t>Client Name 12</t>
  </si>
  <si>
    <t>Creative Enterprise 12</t>
  </si>
  <si>
    <t>contact@enterprise12.com</t>
  </si>
  <si>
    <t>DS-CLN-013</t>
  </si>
  <si>
    <t>Client Name 13</t>
  </si>
  <si>
    <t>Design Labs LLC 13</t>
  </si>
  <si>
    <t>contact@enterprise13.com</t>
  </si>
  <si>
    <t>DS-CLN-014</t>
  </si>
  <si>
    <t>Client Name 14</t>
  </si>
  <si>
    <t>Creative Enterprise 14</t>
  </si>
  <si>
    <t>contact@enterprise14.com</t>
  </si>
  <si>
    <t>DS-CLN-015</t>
  </si>
  <si>
    <t>Client Name 15</t>
  </si>
  <si>
    <t>Design Labs LLC 15</t>
  </si>
  <si>
    <t>contact@enterprise15.com</t>
  </si>
  <si>
    <t>DS-CLN-016</t>
  </si>
  <si>
    <t>Client Name 16</t>
  </si>
  <si>
    <t>Creative Enterprise 16</t>
  </si>
  <si>
    <t>contact@enterprise16.com</t>
  </si>
  <si>
    <t>DS-CLN-017</t>
  </si>
  <si>
    <t>Client Name 17</t>
  </si>
  <si>
    <t>Design Labs LLC 17</t>
  </si>
  <si>
    <t>contact@enterprise17.com</t>
  </si>
  <si>
    <t>DS-CLN-018</t>
  </si>
  <si>
    <t>Client Name 18</t>
  </si>
  <si>
    <t>Creative Enterprise 18</t>
  </si>
  <si>
    <t>contact@enterprise18.com</t>
  </si>
  <si>
    <t>DS-CLN-019</t>
  </si>
  <si>
    <t>Client Name 19</t>
  </si>
  <si>
    <t>Design Labs LLC 19</t>
  </si>
  <si>
    <t>contact@enterprise19.com</t>
  </si>
  <si>
    <t>DS-CLN-020</t>
  </si>
  <si>
    <t>Client Name 20</t>
  </si>
  <si>
    <t>Creative Enterprise 20</t>
  </si>
  <si>
    <t>contact@enterprise20.com</t>
  </si>
  <si>
    <t>DS-CLN-021</t>
  </si>
  <si>
    <t>Client Name 21</t>
  </si>
  <si>
    <t>Design Labs LLC 21</t>
  </si>
  <si>
    <t>contact@enterprise21.com</t>
  </si>
  <si>
    <t>DS-CLN-022</t>
  </si>
  <si>
    <t>Client Name 22</t>
  </si>
  <si>
    <t>Creative Enterprise 22</t>
  </si>
  <si>
    <t>contact@enterprise22.com</t>
  </si>
  <si>
    <t>DS-CLN-023</t>
  </si>
  <si>
    <t>Client Name 23</t>
  </si>
  <si>
    <t>Design Labs LLC 23</t>
  </si>
  <si>
    <t>contact@enterprise23.com</t>
  </si>
  <si>
    <t>DS-CLN-024</t>
  </si>
  <si>
    <t>Client Name 24</t>
  </si>
  <si>
    <t>Creative Enterprise 24</t>
  </si>
  <si>
    <t>contact@enterprise24.com</t>
  </si>
  <si>
    <t>DS-CLN-025</t>
  </si>
  <si>
    <t>Client Name 25</t>
  </si>
  <si>
    <t>Design Labs LLC 25</t>
  </si>
  <si>
    <t>contact@enterprise25.com</t>
  </si>
  <si>
    <t>DS-CLN-026</t>
  </si>
  <si>
    <t>Client Name 26</t>
  </si>
  <si>
    <t>Creative Enterprise 26</t>
  </si>
  <si>
    <t>contact@enterprise26.com</t>
  </si>
  <si>
    <t>DS-CLN-027</t>
  </si>
  <si>
    <t>Client Name 27</t>
  </si>
  <si>
    <t>Design Labs LLC 27</t>
  </si>
  <si>
    <t>contact@enterprise27.com</t>
  </si>
  <si>
    <t>DS-CLN-028</t>
  </si>
  <si>
    <t>Client Name 28</t>
  </si>
  <si>
    <t>Creative Enterprise 28</t>
  </si>
  <si>
    <t>contact@enterprise28.com</t>
  </si>
  <si>
    <t>DS-CLN-029</t>
  </si>
  <si>
    <t>Client Name 29</t>
  </si>
  <si>
    <t>Design Labs LLC 29</t>
  </si>
  <si>
    <t>contact@enterprise29.com</t>
  </si>
  <si>
    <t>DS-CLN-030</t>
  </si>
  <si>
    <t>Client Name 30</t>
  </si>
  <si>
    <t>Creative Enterprise 30</t>
  </si>
  <si>
    <t>contact@enterprise30.com</t>
  </si>
  <si>
    <t>DS-CLN-031</t>
  </si>
  <si>
    <t>Client Name 31</t>
  </si>
  <si>
    <t>Design Labs LLC 31</t>
  </si>
  <si>
    <t>contact@enterprise31.com</t>
  </si>
  <si>
    <t>DS-CLN-032</t>
  </si>
  <si>
    <t>Client Name 32</t>
  </si>
  <si>
    <t>Creative Enterprise 32</t>
  </si>
  <si>
    <t>contact@enterprise32.com</t>
  </si>
  <si>
    <t>DS-CLN-033</t>
  </si>
  <si>
    <t>Client Name 33</t>
  </si>
  <si>
    <t>Design Labs LLC 33</t>
  </si>
  <si>
    <t>contact@enterprise33.com</t>
  </si>
  <si>
    <t>DS-CLN-034</t>
  </si>
  <si>
    <t>Client Name 34</t>
  </si>
  <si>
    <t>Creative Enterprise 34</t>
  </si>
  <si>
    <t>contact@enterprise34.com</t>
  </si>
  <si>
    <t>DS-CLN-035</t>
  </si>
  <si>
    <t>Client Name 35</t>
  </si>
  <si>
    <t>Design Labs LLC 35</t>
  </si>
  <si>
    <t>contact@enterprise35.com</t>
  </si>
  <si>
    <t>DS-CLN-036</t>
  </si>
  <si>
    <t>Client Name 36</t>
  </si>
  <si>
    <t>Creative Enterprise 36</t>
  </si>
  <si>
    <t>contact@enterprise36.com</t>
  </si>
  <si>
    <t>DS-CLN-037</t>
  </si>
  <si>
    <t>Client Name 37</t>
  </si>
  <si>
    <t>Design Labs LLC 37</t>
  </si>
  <si>
    <t>contact@enterprise37.com</t>
  </si>
  <si>
    <t>DS-CLN-038</t>
  </si>
  <si>
    <t>Client Name 38</t>
  </si>
  <si>
    <t>Creative Enterprise 38</t>
  </si>
  <si>
    <t>contact@enterprise38.com</t>
  </si>
  <si>
    <t>DS-CLN-039</t>
  </si>
  <si>
    <t>Client Name 39</t>
  </si>
  <si>
    <t>Design Labs LLC 39</t>
  </si>
  <si>
    <t>contact@enterprise39.com</t>
  </si>
  <si>
    <t>DS-CLN-040</t>
  </si>
  <si>
    <t>Client Name 40</t>
  </si>
  <si>
    <t>Creative Enterprise 40</t>
  </si>
  <si>
    <t>contact@enterprise40.com</t>
  </si>
  <si>
    <t>DS-CLN-041</t>
  </si>
  <si>
    <t>Client Name 41</t>
  </si>
  <si>
    <t>Design Labs LLC 41</t>
  </si>
  <si>
    <t>contact@enterprise41.com</t>
  </si>
  <si>
    <t>DS-CLN-042</t>
  </si>
  <si>
    <t>Client Name 42</t>
  </si>
  <si>
    <t>Creative Enterprise 42</t>
  </si>
  <si>
    <t>contact@enterprise42.com</t>
  </si>
  <si>
    <t>DS-CLN-043</t>
  </si>
  <si>
    <t>Client Name 43</t>
  </si>
  <si>
    <t>Design Labs LLC 43</t>
  </si>
  <si>
    <t>contact@enterprise43.com</t>
  </si>
  <si>
    <t>DS-CLN-044</t>
  </si>
  <si>
    <t>Client Name 44</t>
  </si>
  <si>
    <t>Creative Enterprise 44</t>
  </si>
  <si>
    <t>contact@enterprise44.com</t>
  </si>
  <si>
    <t>DS-CLN-045</t>
  </si>
  <si>
    <t>Client Name 45</t>
  </si>
  <si>
    <t>Design Labs LLC 45</t>
  </si>
  <si>
    <t>contact@enterprise45.com</t>
  </si>
  <si>
    <t>DS-CLN-046</t>
  </si>
  <si>
    <t>Client Name 46</t>
  </si>
  <si>
    <t>Creative Enterprise 46</t>
  </si>
  <si>
    <t>contact@enterprise46.com</t>
  </si>
  <si>
    <t>DS-CLN-047</t>
  </si>
  <si>
    <t>Client Name 47</t>
  </si>
  <si>
    <t>Design Labs LLC 47</t>
  </si>
  <si>
    <t>contact@enterprise47.com</t>
  </si>
  <si>
    <t>DS-CLN-048</t>
  </si>
  <si>
    <t>Client Name 48</t>
  </si>
  <si>
    <t>Creative Enterprise 48</t>
  </si>
  <si>
    <t>contact@enterprise48.com</t>
  </si>
  <si>
    <t>DS-CLN-049</t>
  </si>
  <si>
    <t>Client Name 49</t>
  </si>
  <si>
    <t>Design Labs LLC 49</t>
  </si>
  <si>
    <t>contact@enterprise49.com</t>
  </si>
  <si>
    <t>DS-CLN-050</t>
  </si>
  <si>
    <t>Client Name 50</t>
  </si>
  <si>
    <t>Creative Enterprise 50</t>
  </si>
  <si>
    <t>contact@enterprise50.com</t>
  </si>
  <si>
    <t>Project ID</t>
  </si>
  <si>
    <t>Project Name</t>
  </si>
  <si>
    <t>Project Type</t>
  </si>
  <si>
    <t>Assigned Designer</t>
  </si>
  <si>
    <t>Start Date</t>
  </si>
  <si>
    <t>Due Date</t>
  </si>
  <si>
    <t>Progress (%)</t>
  </si>
  <si>
    <t>Overdue Status</t>
  </si>
  <si>
    <t>DS-PRJ-001</t>
  </si>
  <si>
    <t>Campaign Project 1</t>
  </si>
  <si>
    <t>Web Design</t>
  </si>
  <si>
    <t>Muhammad Jawad</t>
  </si>
  <si>
    <t>DS-PRJ-002</t>
  </si>
  <si>
    <t>Campaign Project 2</t>
  </si>
  <si>
    <t>UI/UX</t>
  </si>
  <si>
    <t>Sarah Khan</t>
  </si>
  <si>
    <t>DS-PRJ-003</t>
  </si>
  <si>
    <t>Campaign Project 3</t>
  </si>
  <si>
    <t>Social Media</t>
  </si>
  <si>
    <t>Zain Ahmed</t>
  </si>
  <si>
    <t>DS-PRJ-004</t>
  </si>
  <si>
    <t>Campaign Project 4</t>
  </si>
  <si>
    <t>Packaging</t>
  </si>
  <si>
    <t>Amna Javed</t>
  </si>
  <si>
    <t>DS-PRJ-005</t>
  </si>
  <si>
    <t>Campaign Project 5</t>
  </si>
  <si>
    <t>Branding</t>
  </si>
  <si>
    <t>DS-PRJ-006</t>
  </si>
  <si>
    <t>Campaign Project 6</t>
  </si>
  <si>
    <t>DS-PRJ-007</t>
  </si>
  <si>
    <t>Campaign Project 7</t>
  </si>
  <si>
    <t>DS-PRJ-008</t>
  </si>
  <si>
    <t>Campaign Project 8</t>
  </si>
  <si>
    <t>DS-PRJ-009</t>
  </si>
  <si>
    <t>Campaign Project 9</t>
  </si>
  <si>
    <t>DS-PRJ-010</t>
  </si>
  <si>
    <t>Campaign Project 10</t>
  </si>
  <si>
    <t>DS-PRJ-011</t>
  </si>
  <si>
    <t>Campaign Project 11</t>
  </si>
  <si>
    <t>DS-PRJ-012</t>
  </si>
  <si>
    <t>Campaign Project 12</t>
  </si>
  <si>
    <t>DS-PRJ-013</t>
  </si>
  <si>
    <t>Campaign Project 13</t>
  </si>
  <si>
    <t>DS-PRJ-014</t>
  </si>
  <si>
    <t>Campaign Project 14</t>
  </si>
  <si>
    <t>DS-PRJ-015</t>
  </si>
  <si>
    <t>Campaign Project 15</t>
  </si>
  <si>
    <t>DS-PRJ-016</t>
  </si>
  <si>
    <t>Campaign Project 16</t>
  </si>
  <si>
    <t>DS-PRJ-017</t>
  </si>
  <si>
    <t>Campaign Project 17</t>
  </si>
  <si>
    <t>DS-PRJ-018</t>
  </si>
  <si>
    <t>Campaign Project 18</t>
  </si>
  <si>
    <t>DS-PRJ-019</t>
  </si>
  <si>
    <t>Campaign Project 19</t>
  </si>
  <si>
    <t>DS-PRJ-020</t>
  </si>
  <si>
    <t>Campaign Project 20</t>
  </si>
  <si>
    <t>DS-PRJ-021</t>
  </si>
  <si>
    <t>Campaign Project 21</t>
  </si>
  <si>
    <t>DS-PRJ-022</t>
  </si>
  <si>
    <t>Campaign Project 22</t>
  </si>
  <si>
    <t>DS-PRJ-023</t>
  </si>
  <si>
    <t>Campaign Project 23</t>
  </si>
  <si>
    <t>DS-PRJ-024</t>
  </si>
  <si>
    <t>Campaign Project 24</t>
  </si>
  <si>
    <t>DS-PRJ-025</t>
  </si>
  <si>
    <t>Campaign Project 25</t>
  </si>
  <si>
    <t>DS-PRJ-026</t>
  </si>
  <si>
    <t>Campaign Project 26</t>
  </si>
  <si>
    <t>DS-PRJ-027</t>
  </si>
  <si>
    <t>Campaign Project 27</t>
  </si>
  <si>
    <t>DS-PRJ-028</t>
  </si>
  <si>
    <t>Campaign Project 28</t>
  </si>
  <si>
    <t>DS-PRJ-029</t>
  </si>
  <si>
    <t>Campaign Project 29</t>
  </si>
  <si>
    <t>DS-PRJ-030</t>
  </si>
  <si>
    <t>Campaign Project 30</t>
  </si>
  <si>
    <t>DS-PRJ-031</t>
  </si>
  <si>
    <t>Campaign Project 31</t>
  </si>
  <si>
    <t>DS-PRJ-032</t>
  </si>
  <si>
    <t>Campaign Project 32</t>
  </si>
  <si>
    <t>DS-PRJ-033</t>
  </si>
  <si>
    <t>Campaign Project 33</t>
  </si>
  <si>
    <t>DS-PRJ-034</t>
  </si>
  <si>
    <t>Campaign Project 34</t>
  </si>
  <si>
    <t>DS-PRJ-035</t>
  </si>
  <si>
    <t>Campaign Project 35</t>
  </si>
  <si>
    <t>DS-PRJ-036</t>
  </si>
  <si>
    <t>Campaign Project 36</t>
  </si>
  <si>
    <t>DS-PRJ-037</t>
  </si>
  <si>
    <t>Campaign Project 37</t>
  </si>
  <si>
    <t>DS-PRJ-038</t>
  </si>
  <si>
    <t>Campaign Project 38</t>
  </si>
  <si>
    <t>DS-PRJ-039</t>
  </si>
  <si>
    <t>Campaign Project 39</t>
  </si>
  <si>
    <t>DS-PRJ-040</t>
  </si>
  <si>
    <t>Campaign Project 40</t>
  </si>
  <si>
    <t>DS-PRJ-041</t>
  </si>
  <si>
    <t>Campaign Project 41</t>
  </si>
  <si>
    <t>DS-PRJ-042</t>
  </si>
  <si>
    <t>Campaign Project 42</t>
  </si>
  <si>
    <t>DS-PRJ-043</t>
  </si>
  <si>
    <t>Campaign Project 43</t>
  </si>
  <si>
    <t>DS-PRJ-044</t>
  </si>
  <si>
    <t>Campaign Project 44</t>
  </si>
  <si>
    <t>DS-PRJ-045</t>
  </si>
  <si>
    <t>Campaign Project 45</t>
  </si>
  <si>
    <t>DS-PRJ-046</t>
  </si>
  <si>
    <t>Campaign Project 46</t>
  </si>
  <si>
    <t>DS-PRJ-047</t>
  </si>
  <si>
    <t>Campaign Project 47</t>
  </si>
  <si>
    <t>DS-PRJ-048</t>
  </si>
  <si>
    <t>Campaign Project 48</t>
  </si>
  <si>
    <t>DS-PRJ-049</t>
  </si>
  <si>
    <t>Campaign Project 49</t>
  </si>
  <si>
    <t>DS-PRJ-050</t>
  </si>
  <si>
    <t>Campaign Project 50</t>
  </si>
  <si>
    <t>Designer Name</t>
  </si>
  <si>
    <t>Role</t>
  </si>
  <si>
    <t>Active Projects</t>
  </si>
  <si>
    <t>Weekly Capacity (Hrs)</t>
  </si>
  <si>
    <t>Allocated Hrs</t>
  </si>
  <si>
    <t>Utilization Rate (%)</t>
  </si>
  <si>
    <t>Senior Designer</t>
  </si>
  <si>
    <t>UI/UX Specialist</t>
  </si>
  <si>
    <t>Illustrator</t>
  </si>
  <si>
    <t>Junior Designer</t>
  </si>
  <si>
    <t>Project Budget</t>
  </si>
  <si>
    <t>Amount Invoiced</t>
  </si>
  <si>
    <t>Amount Paid</t>
  </si>
  <si>
    <t>Outstanding Balance</t>
  </si>
  <si>
    <t>Invoice Status</t>
  </si>
  <si>
    <t>Partially Paid</t>
  </si>
  <si>
    <t>Paid</t>
  </si>
  <si>
    <t>Unsent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</si>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</sst>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.00"/>
    <numFmt numFmtId="165" formatCode="yyyy\-mm\-dd"/>
  </numFmts>
  <fonts count="6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b/>
      <sz val="11"/>
      <name val="Segoe UI"/>
    </font>
    <font>
      <b/>
      <sz val="16"/>
      <color theme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2F4F8"/>
        <bgColor rgb="FFF2F4F8"/>
      </patternFill>
    </fill>
    <fill>
      <patternFill patternType="solid">
        <fgColor theme="9"/>
        <bgColor rgb="FF1F4E78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7" xfId="0" applyFont="1" applyBorder="1"/>
    <xf numFmtId="164" fontId="4" fillId="0" borderId="8" xfId="0" applyNumberFormat="1" applyFont="1" applyBorder="1"/>
    <xf numFmtId="0" fontId="0" fillId="0" borderId="9" xfId="0" applyBorder="1"/>
    <xf numFmtId="0" fontId="0" fillId="0" borderId="1" xfId="0" applyBorder="1"/>
    <xf numFmtId="165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165" fontId="2" fillId="2" borderId="8" xfId="0" applyNumberFormat="1" applyFont="1" applyFill="1" applyBorder="1" applyAlignment="1">
      <alignment horizontal="center" vertical="center"/>
    </xf>
    <xf numFmtId="9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right" vertical="center"/>
    </xf>
    <xf numFmtId="164" fontId="2" fillId="2" borderId="6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/>
    <xf numFmtId="0" fontId="2" fillId="0" borderId="1" xfId="0" applyFont="1" applyBorder="1"/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4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E78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64" formatCode="\$#,##0.00"/>
      <fill>
        <patternFill patternType="solid">
          <fgColor rgb="FFF2F4F8"/>
          <bgColor rgb="FFF2F4F8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4F8"/>
          <bgColor rgb="FFF2F4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4F8"/>
          <bgColor rgb="FFF2F4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4F8"/>
          <bgColor rgb="FFF2F4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4F8"/>
          <bgColor rgb="FFF2F4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4F8"/>
          <bgColor rgb="FFF2F4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4F8"/>
          <bgColor rgb="FFF2F4F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E78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4F8"/>
          <bgColor rgb="FFF2F4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3" formatCode="0%"/>
      <fill>
        <patternFill patternType="solid">
          <fgColor rgb="FFF2F4F8"/>
          <bgColor rgb="FFF2F4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4F8"/>
          <bgColor rgb="FFF2F4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65" formatCode="yyyy\-mm\-dd"/>
      <fill>
        <patternFill patternType="solid">
          <fgColor rgb="FFF2F4F8"/>
          <bgColor rgb="FFF2F4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numFmt numFmtId="165" formatCode="yyyy\-mm\-dd"/>
      <fill>
        <patternFill patternType="solid">
          <fgColor rgb="FFF2F4F8"/>
          <bgColor rgb="FFF2F4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4F8"/>
          <bgColor rgb="FFF2F4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4F8"/>
          <bgColor rgb="FFF2F4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4F8"/>
          <bgColor rgb="FFF2F4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4F8"/>
          <bgColor rgb="FFF2F4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4F8"/>
          <bgColor rgb="FFF2F4F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E78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sz val="10"/>
        <color rgb="FFB71C1C"/>
        <name val="Segoe UI"/>
      </font>
      <fill>
        <patternFill patternType="solid">
          <fgColor rgb="FFFFEBEE"/>
          <bgColor rgb="FFFFEBE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sz val="10"/>
        <color rgb="FF1B5E20"/>
        <name val="Segoe UI"/>
      </font>
      <fill>
        <patternFill patternType="solid">
          <fgColor rgb="FFE8F5E9"/>
          <bgColor rgb="FFE8F5E9"/>
        </patternFill>
      </fill>
    </dxf>
    <dxf>
      <font>
        <sz val="10"/>
        <color rgb="FF4A148C"/>
        <name val="Segoe UI"/>
      </font>
      <fill>
        <patternFill patternType="solid">
          <fgColor rgb="FFF3E5F5"/>
          <bgColor rgb="FFF3E5F5"/>
        </patternFill>
      </fill>
    </dxf>
    <dxf>
      <font>
        <sz val="10"/>
        <color rgb="FF01579B"/>
        <name val="Segoe UI"/>
      </font>
      <fill>
        <patternFill patternType="solid">
          <fgColor rgb="FFE1F5FE"/>
          <bgColor rgb="FFE1F5F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scheme val="none"/>
      </font>
      <fill>
        <patternFill patternType="solid">
          <fgColor rgb="FFF2F4F8"/>
          <bgColor rgb="FFF2F4F8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G51" totalsRowShown="0" headerRowDxfId="0" headerRowBorderDxfId="9" tableBorderDxfId="10" totalsRowBorderDxfId="8">
  <autoFilter ref="A1:G51"/>
  <tableColumns count="7">
    <tableColumn id="1" name="Client ID" dataDxfId="7"/>
    <tableColumn id="2" name="Client Name" dataDxfId="6"/>
    <tableColumn id="3" name="Company" dataDxfId="5"/>
    <tableColumn id="4" name="Contact Email" dataDxfId="4"/>
    <tableColumn id="5" name="Status" dataDxfId="3"/>
    <tableColumn id="6" name="Total Projects" dataDxfId="2"/>
    <tableColumn id="7" name="Lifetime Revenue" dataDxfId="1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51" totalsRowShown="0" headerRowDxfId="11" dataDxfId="46" headerRowBorderDxfId="23" tableBorderDxfId="24" totalsRowBorderDxfId="22">
  <autoFilter ref="A1:J51"/>
  <tableColumns count="10">
    <tableColumn id="1" name="Project ID" dataDxfId="21"/>
    <tableColumn id="2" name="Project Name" dataDxfId="20"/>
    <tableColumn id="3" name="Client ID" dataDxfId="19"/>
    <tableColumn id="4" name="Project Type" dataDxfId="18"/>
    <tableColumn id="5" name="Assigned Designer" dataDxfId="17"/>
    <tableColumn id="6" name="Start Date" dataDxfId="16"/>
    <tableColumn id="7" name="Due Date" dataDxfId="15"/>
    <tableColumn id="8" name="Status" dataDxfId="14"/>
    <tableColumn id="9" name="Progress (%)" dataDxfId="13"/>
    <tableColumn id="10" name="Overdue Status" dataDxfId="12">
      <calculatedColumnFormula>IF(H2="Approved", "Completed", IF(G2&lt;TODAY(), "OVERDUE", "On Track"))</calculatedColumnFormula>
    </tableColumn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52" totalsRowShown="0" headerRowDxfId="25" headerRowBorderDxfId="33" tableBorderDxfId="34" totalsRowBorderDxfId="32">
  <autoFilter ref="A1:F52"/>
  <tableColumns count="6">
    <tableColumn id="1" name="Project ID" dataDxfId="31"/>
    <tableColumn id="2" name="Project Budget" dataDxfId="30"/>
    <tableColumn id="3" name="Amount Invoiced" dataDxfId="29"/>
    <tableColumn id="4" name="Amount Paid" dataDxfId="28"/>
    <tableColumn id="5" name="Outstanding Balance" dataDxfId="27"/>
    <tableColumn id="6" name="Invoice Status" dataDxfId="26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6" sqref="B6"/>
    </sheetView>
  </sheetViews>
  <sheetFormatPr defaultRowHeight="15"/>
  <cols>
    <col min="1" max="1" width="46" customWidth="1"/>
    <col min="2" max="2" width="16.28515625" customWidth="1"/>
    <col min="3" max="3" width="18" customWidth="1"/>
    <col min="4" max="4" width="17.140625" customWidth="1"/>
  </cols>
  <sheetData>
    <row r="1" spans="1:4" ht="39.950000000000003" customHeight="1">
      <c r="A1" s="33" t="s">
        <v>0</v>
      </c>
      <c r="B1" s="33"/>
      <c r="C1" s="33"/>
      <c r="D1" s="33"/>
    </row>
    <row r="2" spans="1:4" ht="24" customHeight="1">
      <c r="A2" s="34" t="s">
        <v>1</v>
      </c>
      <c r="B2" s="34" t="s">
        <v>2</v>
      </c>
      <c r="C2" s="1" t="s">
        <v>3</v>
      </c>
      <c r="D2" s="35"/>
    </row>
    <row r="3" spans="1:4" ht="20.100000000000001" customHeight="1">
      <c r="A3" s="36" t="s">
        <v>4</v>
      </c>
      <c r="B3" s="37">
        <f ca="1">SUM(Dashboard!B2:B51)</f>
        <v>0</v>
      </c>
      <c r="C3" s="36" t="s">
        <v>5</v>
      </c>
      <c r="D3" s="3">
        <f>COUNTIF('Project Pipeline'!H2:H51, "Briefing")</f>
        <v>10</v>
      </c>
    </row>
    <row r="4" spans="1:4" ht="20.100000000000001" customHeight="1">
      <c r="A4" s="36" t="s">
        <v>6</v>
      </c>
      <c r="B4" s="37">
        <f>'Financial Tracking'!D53</f>
        <v>0</v>
      </c>
      <c r="C4" s="36" t="s">
        <v>7</v>
      </c>
      <c r="D4" s="3">
        <f>COUNTIF('Project Pipeline'!H2:H51, "In Progress")</f>
        <v>10</v>
      </c>
    </row>
    <row r="5" spans="1:4" ht="20.100000000000001" customHeight="1">
      <c r="A5" s="36" t="s">
        <v>8</v>
      </c>
      <c r="B5" s="37">
        <f>SUM(Dashboard!E2:E51)</f>
        <v>0</v>
      </c>
      <c r="C5" s="36" t="s">
        <v>9</v>
      </c>
      <c r="D5" s="3">
        <f>COUNTIF('Project Pipeline'!H2:H51, "Review")</f>
        <v>10</v>
      </c>
    </row>
    <row r="6" spans="1:4" ht="20.100000000000001" customHeight="1">
      <c r="A6" s="36" t="s">
        <v>10</v>
      </c>
      <c r="B6" s="38">
        <f>COUNTA('Project Pipeline'!A2:A51)</f>
        <v>50</v>
      </c>
      <c r="C6" s="36" t="s">
        <v>11</v>
      </c>
      <c r="D6" s="3">
        <f>COUNTIF('Project Pipeline'!H2:H51, "Approved")</f>
        <v>10</v>
      </c>
    </row>
    <row r="7" spans="1:4">
      <c r="A7" s="17"/>
      <c r="B7" s="17"/>
      <c r="C7" s="36" t="s">
        <v>12</v>
      </c>
      <c r="D7" s="3">
        <f>COUNTIF('Project Pipeline'!H2:H51, "On Hold")</f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sqref="A1:G51"/>
    </sheetView>
  </sheetViews>
  <sheetFormatPr defaultRowHeight="15"/>
  <cols>
    <col min="1" max="1" width="14" customWidth="1"/>
    <col min="2" max="2" width="18" customWidth="1"/>
    <col min="3" max="3" width="26" customWidth="1"/>
    <col min="4" max="4" width="28" customWidth="1"/>
    <col min="5" max="5" width="12" customWidth="1"/>
    <col min="6" max="6" width="24.5703125" customWidth="1"/>
    <col min="7" max="7" width="26.7109375" customWidth="1"/>
  </cols>
  <sheetData>
    <row r="1" spans="1:7" ht="26.1" customHeight="1">
      <c r="A1" s="5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7" t="s">
        <v>19</v>
      </c>
    </row>
    <row r="2" spans="1:7" ht="20.100000000000001" customHeight="1">
      <c r="A2" s="8" t="s">
        <v>20</v>
      </c>
      <c r="B2" s="2" t="s">
        <v>21</v>
      </c>
      <c r="C2" s="2" t="s">
        <v>22</v>
      </c>
      <c r="D2" s="2" t="s">
        <v>23</v>
      </c>
      <c r="E2" s="3" t="s">
        <v>24</v>
      </c>
      <c r="F2" s="3">
        <f>COUNTIF('Project Pipeline'!C2:C51, "DS-CLN-001")</f>
        <v>5</v>
      </c>
      <c r="G2" s="30">
        <f>SUMIF('Project Pipeline'!C2:C51, "DS-CLN-001", 'Financial Tracking'!B2:B51)</f>
        <v>22500</v>
      </c>
    </row>
    <row r="3" spans="1:7" ht="20.100000000000001" customHeight="1">
      <c r="A3" s="11" t="s">
        <v>25</v>
      </c>
      <c r="B3" s="20" t="s">
        <v>26</v>
      </c>
      <c r="C3" s="20" t="s">
        <v>27</v>
      </c>
      <c r="D3" s="20" t="s">
        <v>28</v>
      </c>
      <c r="E3" s="21" t="s">
        <v>24</v>
      </c>
      <c r="F3" s="21">
        <f>COUNTIF('Project Pipeline'!C2:C51, "DS-CLN-002")</f>
        <v>5</v>
      </c>
      <c r="G3" s="31">
        <f>SUMIF('Project Pipeline'!C2:C51, "DS-CLN-002", 'Financial Tracking'!B2:B51)</f>
        <v>18000</v>
      </c>
    </row>
    <row r="4" spans="1:7" ht="20.100000000000001" customHeight="1">
      <c r="A4" s="8" t="s">
        <v>29</v>
      </c>
      <c r="B4" s="2" t="s">
        <v>30</v>
      </c>
      <c r="C4" s="2" t="s">
        <v>31</v>
      </c>
      <c r="D4" s="2" t="s">
        <v>32</v>
      </c>
      <c r="E4" s="3" t="s">
        <v>24</v>
      </c>
      <c r="F4" s="3">
        <f>COUNTIF('Project Pipeline'!C2:C51, "DS-CLN-003")</f>
        <v>5</v>
      </c>
      <c r="G4" s="30">
        <f>SUMIF('Project Pipeline'!C2:C51, "DS-CLN-003", 'Financial Tracking'!B2:B51)</f>
        <v>18500</v>
      </c>
    </row>
    <row r="5" spans="1:7" ht="20.100000000000001" customHeight="1">
      <c r="A5" s="11" t="s">
        <v>33</v>
      </c>
      <c r="B5" s="20" t="s">
        <v>34</v>
      </c>
      <c r="C5" s="20" t="s">
        <v>35</v>
      </c>
      <c r="D5" s="20" t="s">
        <v>36</v>
      </c>
      <c r="E5" s="21" t="s">
        <v>24</v>
      </c>
      <c r="F5" s="21">
        <f>COUNTIF('Project Pipeline'!C2:C51, "DS-CLN-004")</f>
        <v>5</v>
      </c>
      <c r="G5" s="31">
        <f>SUMIF('Project Pipeline'!C2:C51, "DS-CLN-004", 'Financial Tracking'!B2:B51)</f>
        <v>19000</v>
      </c>
    </row>
    <row r="6" spans="1:7" ht="20.100000000000001" customHeight="1">
      <c r="A6" s="8" t="s">
        <v>37</v>
      </c>
      <c r="B6" s="2" t="s">
        <v>38</v>
      </c>
      <c r="C6" s="2" t="s">
        <v>39</v>
      </c>
      <c r="D6" s="2" t="s">
        <v>40</v>
      </c>
      <c r="E6" s="3" t="s">
        <v>24</v>
      </c>
      <c r="F6" s="3">
        <f>COUNTIF('Project Pipeline'!C2:C51, "DS-CLN-005")</f>
        <v>5</v>
      </c>
      <c r="G6" s="30">
        <f>SUMIF('Project Pipeline'!C2:C51, "DS-CLN-005", 'Financial Tracking'!B2:B51)</f>
        <v>19500</v>
      </c>
    </row>
    <row r="7" spans="1:7" ht="20.100000000000001" customHeight="1">
      <c r="A7" s="11" t="s">
        <v>41</v>
      </c>
      <c r="B7" s="20" t="s">
        <v>42</v>
      </c>
      <c r="C7" s="20" t="s">
        <v>43</v>
      </c>
      <c r="D7" s="20" t="s">
        <v>44</v>
      </c>
      <c r="E7" s="21" t="s">
        <v>24</v>
      </c>
      <c r="F7" s="21">
        <f>COUNTIF('Project Pipeline'!C2:C51, "DS-CLN-006")</f>
        <v>5</v>
      </c>
      <c r="G7" s="31">
        <f>SUMIF('Project Pipeline'!C2:C51, "DS-CLN-006", 'Financial Tracking'!B2:B51)</f>
        <v>20000</v>
      </c>
    </row>
    <row r="8" spans="1:7" ht="20.100000000000001" customHeight="1">
      <c r="A8" s="8" t="s">
        <v>45</v>
      </c>
      <c r="B8" s="2" t="s">
        <v>46</v>
      </c>
      <c r="C8" s="2" t="s">
        <v>47</v>
      </c>
      <c r="D8" s="2" t="s">
        <v>48</v>
      </c>
      <c r="E8" s="3" t="s">
        <v>49</v>
      </c>
      <c r="F8" s="3">
        <f>COUNTIF('Project Pipeline'!C2:C51, "DS-CLN-007")</f>
        <v>5</v>
      </c>
      <c r="G8" s="30">
        <f>SUMIF('Project Pipeline'!C2:C51, "DS-CLN-007", 'Financial Tracking'!B2:B51)</f>
        <v>20500</v>
      </c>
    </row>
    <row r="9" spans="1:7" ht="20.100000000000001" customHeight="1">
      <c r="A9" s="11" t="s">
        <v>50</v>
      </c>
      <c r="B9" s="20" t="s">
        <v>51</v>
      </c>
      <c r="C9" s="20" t="s">
        <v>52</v>
      </c>
      <c r="D9" s="20" t="s">
        <v>53</v>
      </c>
      <c r="E9" s="21" t="s">
        <v>24</v>
      </c>
      <c r="F9" s="21">
        <f>COUNTIF('Project Pipeline'!C2:C51, "DS-CLN-008")</f>
        <v>5</v>
      </c>
      <c r="G9" s="31">
        <f>SUMIF('Project Pipeline'!C2:C51, "DS-CLN-008", 'Financial Tracking'!B2:B51)</f>
        <v>21000</v>
      </c>
    </row>
    <row r="10" spans="1:7" ht="20.100000000000001" customHeight="1">
      <c r="A10" s="8" t="s">
        <v>54</v>
      </c>
      <c r="B10" s="2" t="s">
        <v>55</v>
      </c>
      <c r="C10" s="2" t="s">
        <v>56</v>
      </c>
      <c r="D10" s="2" t="s">
        <v>57</v>
      </c>
      <c r="E10" s="3" t="s">
        <v>24</v>
      </c>
      <c r="F10" s="3">
        <f>COUNTIF('Project Pipeline'!C2:C51, "DS-CLN-009")</f>
        <v>5</v>
      </c>
      <c r="G10" s="30">
        <f>SUMIF('Project Pipeline'!C2:C51, "DS-CLN-009", 'Financial Tracking'!B2:B51)</f>
        <v>21500</v>
      </c>
    </row>
    <row r="11" spans="1:7" ht="20.100000000000001" customHeight="1">
      <c r="A11" s="11" t="s">
        <v>58</v>
      </c>
      <c r="B11" s="20" t="s">
        <v>59</v>
      </c>
      <c r="C11" s="20" t="s">
        <v>60</v>
      </c>
      <c r="D11" s="20" t="s">
        <v>61</v>
      </c>
      <c r="E11" s="21" t="s">
        <v>24</v>
      </c>
      <c r="F11" s="21">
        <f>COUNTIF('Project Pipeline'!C2:C51, "DS-CLN-010")</f>
        <v>5</v>
      </c>
      <c r="G11" s="31">
        <f>SUMIF('Project Pipeline'!C2:C51, "DS-CLN-010", 'Financial Tracking'!B2:B51)</f>
        <v>22000</v>
      </c>
    </row>
    <row r="12" spans="1:7" ht="20.100000000000001" customHeight="1">
      <c r="A12" s="8" t="s">
        <v>62</v>
      </c>
      <c r="B12" s="2" t="s">
        <v>63</v>
      </c>
      <c r="C12" s="2" t="s">
        <v>64</v>
      </c>
      <c r="D12" s="2" t="s">
        <v>65</v>
      </c>
      <c r="E12" s="3" t="s">
        <v>24</v>
      </c>
      <c r="F12" s="3">
        <f>COUNTIF('Project Pipeline'!C2:C51, "DS-CLN-011")</f>
        <v>0</v>
      </c>
      <c r="G12" s="30">
        <f>SUMIF('Project Pipeline'!C2:C51, "DS-CLN-011", 'Financial Tracking'!B2:B51)</f>
        <v>0</v>
      </c>
    </row>
    <row r="13" spans="1:7" ht="20.100000000000001" customHeight="1">
      <c r="A13" s="11" t="s">
        <v>66</v>
      </c>
      <c r="B13" s="20" t="s">
        <v>67</v>
      </c>
      <c r="C13" s="20" t="s">
        <v>68</v>
      </c>
      <c r="D13" s="20" t="s">
        <v>69</v>
      </c>
      <c r="E13" s="21" t="s">
        <v>24</v>
      </c>
      <c r="F13" s="21">
        <f>COUNTIF('Project Pipeline'!C2:C51, "DS-CLN-012")</f>
        <v>0</v>
      </c>
      <c r="G13" s="31">
        <f>SUMIF('Project Pipeline'!C2:C51, "DS-CLN-012", 'Financial Tracking'!B2:B51)</f>
        <v>0</v>
      </c>
    </row>
    <row r="14" spans="1:7" ht="20.100000000000001" customHeight="1">
      <c r="A14" s="8" t="s">
        <v>70</v>
      </c>
      <c r="B14" s="2" t="s">
        <v>71</v>
      </c>
      <c r="C14" s="2" t="s">
        <v>72</v>
      </c>
      <c r="D14" s="2" t="s">
        <v>73</v>
      </c>
      <c r="E14" s="3" t="s">
        <v>24</v>
      </c>
      <c r="F14" s="3">
        <f>COUNTIF('Project Pipeline'!C2:C51, "DS-CLN-013")</f>
        <v>0</v>
      </c>
      <c r="G14" s="30">
        <f>SUMIF('Project Pipeline'!C2:C51, "DS-CLN-013", 'Financial Tracking'!B2:B51)</f>
        <v>0</v>
      </c>
    </row>
    <row r="15" spans="1:7" ht="20.100000000000001" customHeight="1">
      <c r="A15" s="11" t="s">
        <v>74</v>
      </c>
      <c r="B15" s="20" t="s">
        <v>75</v>
      </c>
      <c r="C15" s="20" t="s">
        <v>76</v>
      </c>
      <c r="D15" s="20" t="s">
        <v>77</v>
      </c>
      <c r="E15" s="21" t="s">
        <v>49</v>
      </c>
      <c r="F15" s="21">
        <f>COUNTIF('Project Pipeline'!C2:C51, "DS-CLN-014")</f>
        <v>0</v>
      </c>
      <c r="G15" s="31">
        <f>SUMIF('Project Pipeline'!C2:C51, "DS-CLN-014", 'Financial Tracking'!B2:B51)</f>
        <v>0</v>
      </c>
    </row>
    <row r="16" spans="1:7" ht="20.100000000000001" customHeight="1">
      <c r="A16" s="8" t="s">
        <v>78</v>
      </c>
      <c r="B16" s="2" t="s">
        <v>79</v>
      </c>
      <c r="C16" s="2" t="s">
        <v>80</v>
      </c>
      <c r="D16" s="2" t="s">
        <v>81</v>
      </c>
      <c r="E16" s="3" t="s">
        <v>24</v>
      </c>
      <c r="F16" s="3">
        <f>COUNTIF('Project Pipeline'!C2:C51, "DS-CLN-015")</f>
        <v>0</v>
      </c>
      <c r="G16" s="30">
        <f>SUMIF('Project Pipeline'!C2:C51, "DS-CLN-015", 'Financial Tracking'!B2:B51)</f>
        <v>0</v>
      </c>
    </row>
    <row r="17" spans="1:7" ht="20.100000000000001" customHeight="1">
      <c r="A17" s="11" t="s">
        <v>82</v>
      </c>
      <c r="B17" s="20" t="s">
        <v>83</v>
      </c>
      <c r="C17" s="20" t="s">
        <v>84</v>
      </c>
      <c r="D17" s="20" t="s">
        <v>85</v>
      </c>
      <c r="E17" s="21" t="s">
        <v>24</v>
      </c>
      <c r="F17" s="21">
        <f>COUNTIF('Project Pipeline'!C2:C51, "DS-CLN-016")</f>
        <v>0</v>
      </c>
      <c r="G17" s="31">
        <f>SUMIF('Project Pipeline'!C2:C51, "DS-CLN-016", 'Financial Tracking'!B2:B51)</f>
        <v>0</v>
      </c>
    </row>
    <row r="18" spans="1:7" ht="20.100000000000001" customHeight="1">
      <c r="A18" s="8" t="s">
        <v>86</v>
      </c>
      <c r="B18" s="2" t="s">
        <v>87</v>
      </c>
      <c r="C18" s="2" t="s">
        <v>88</v>
      </c>
      <c r="D18" s="2" t="s">
        <v>89</v>
      </c>
      <c r="E18" s="3" t="s">
        <v>24</v>
      </c>
      <c r="F18" s="3">
        <f>COUNTIF('Project Pipeline'!C2:C51, "DS-CLN-017")</f>
        <v>0</v>
      </c>
      <c r="G18" s="30">
        <f>SUMIF('Project Pipeline'!C2:C51, "DS-CLN-017", 'Financial Tracking'!B2:B51)</f>
        <v>0</v>
      </c>
    </row>
    <row r="19" spans="1:7" ht="20.100000000000001" customHeight="1">
      <c r="A19" s="11" t="s">
        <v>90</v>
      </c>
      <c r="B19" s="20" t="s">
        <v>91</v>
      </c>
      <c r="C19" s="20" t="s">
        <v>92</v>
      </c>
      <c r="D19" s="20" t="s">
        <v>93</v>
      </c>
      <c r="E19" s="21" t="s">
        <v>24</v>
      </c>
      <c r="F19" s="21">
        <f>COUNTIF('Project Pipeline'!C2:C51, "DS-CLN-018")</f>
        <v>0</v>
      </c>
      <c r="G19" s="31">
        <f>SUMIF('Project Pipeline'!C2:C51, "DS-CLN-018", 'Financial Tracking'!B2:B51)</f>
        <v>0</v>
      </c>
    </row>
    <row r="20" spans="1:7" ht="20.100000000000001" customHeight="1">
      <c r="A20" s="8" t="s">
        <v>94</v>
      </c>
      <c r="B20" s="2" t="s">
        <v>95</v>
      </c>
      <c r="C20" s="2" t="s">
        <v>96</v>
      </c>
      <c r="D20" s="2" t="s">
        <v>97</v>
      </c>
      <c r="E20" s="3" t="s">
        <v>24</v>
      </c>
      <c r="F20" s="3">
        <f>COUNTIF('Project Pipeline'!C2:C51, "DS-CLN-019")</f>
        <v>0</v>
      </c>
      <c r="G20" s="30">
        <f>SUMIF('Project Pipeline'!C2:C51, "DS-CLN-019", 'Financial Tracking'!B2:B51)</f>
        <v>0</v>
      </c>
    </row>
    <row r="21" spans="1:7" ht="20.100000000000001" customHeight="1">
      <c r="A21" s="11" t="s">
        <v>98</v>
      </c>
      <c r="B21" s="20" t="s">
        <v>99</v>
      </c>
      <c r="C21" s="20" t="s">
        <v>100</v>
      </c>
      <c r="D21" s="20" t="s">
        <v>101</v>
      </c>
      <c r="E21" s="21" t="s">
        <v>24</v>
      </c>
      <c r="F21" s="21">
        <f>COUNTIF('Project Pipeline'!C2:C51, "DS-CLN-020")</f>
        <v>0</v>
      </c>
      <c r="G21" s="31">
        <f>SUMIF('Project Pipeline'!C2:C51, "DS-CLN-020", 'Financial Tracking'!B2:B51)</f>
        <v>0</v>
      </c>
    </row>
    <row r="22" spans="1:7" ht="20.100000000000001" customHeight="1">
      <c r="A22" s="8" t="s">
        <v>102</v>
      </c>
      <c r="B22" s="2" t="s">
        <v>103</v>
      </c>
      <c r="C22" s="2" t="s">
        <v>104</v>
      </c>
      <c r="D22" s="2" t="s">
        <v>105</v>
      </c>
      <c r="E22" s="3" t="s">
        <v>49</v>
      </c>
      <c r="F22" s="3">
        <f>COUNTIF('Project Pipeline'!C2:C51, "DS-CLN-021")</f>
        <v>0</v>
      </c>
      <c r="G22" s="30">
        <f>SUMIF('Project Pipeline'!C2:C51, "DS-CLN-021", 'Financial Tracking'!B2:B51)</f>
        <v>0</v>
      </c>
    </row>
    <row r="23" spans="1:7" ht="20.100000000000001" customHeight="1">
      <c r="A23" s="11" t="s">
        <v>106</v>
      </c>
      <c r="B23" s="20" t="s">
        <v>107</v>
      </c>
      <c r="C23" s="20" t="s">
        <v>108</v>
      </c>
      <c r="D23" s="20" t="s">
        <v>109</v>
      </c>
      <c r="E23" s="21" t="s">
        <v>24</v>
      </c>
      <c r="F23" s="21">
        <f>COUNTIF('Project Pipeline'!C2:C51, "DS-CLN-022")</f>
        <v>0</v>
      </c>
      <c r="G23" s="31">
        <f>SUMIF('Project Pipeline'!C2:C51, "DS-CLN-022", 'Financial Tracking'!B2:B51)</f>
        <v>0</v>
      </c>
    </row>
    <row r="24" spans="1:7" ht="20.100000000000001" customHeight="1">
      <c r="A24" s="8" t="s">
        <v>110</v>
      </c>
      <c r="B24" s="2" t="s">
        <v>111</v>
      </c>
      <c r="C24" s="2" t="s">
        <v>112</v>
      </c>
      <c r="D24" s="2" t="s">
        <v>113</v>
      </c>
      <c r="E24" s="3" t="s">
        <v>24</v>
      </c>
      <c r="F24" s="3">
        <f>COUNTIF('Project Pipeline'!C2:C51, "DS-CLN-023")</f>
        <v>0</v>
      </c>
      <c r="G24" s="30">
        <f>SUMIF('Project Pipeline'!C2:C51, "DS-CLN-023", 'Financial Tracking'!B2:B51)</f>
        <v>0</v>
      </c>
    </row>
    <row r="25" spans="1:7" ht="20.100000000000001" customHeight="1">
      <c r="A25" s="11" t="s">
        <v>114</v>
      </c>
      <c r="B25" s="20" t="s">
        <v>115</v>
      </c>
      <c r="C25" s="20" t="s">
        <v>116</v>
      </c>
      <c r="D25" s="20" t="s">
        <v>117</v>
      </c>
      <c r="E25" s="21" t="s">
        <v>24</v>
      </c>
      <c r="F25" s="21">
        <f>COUNTIF('Project Pipeline'!C2:C51, "DS-CLN-024")</f>
        <v>0</v>
      </c>
      <c r="G25" s="31">
        <f>SUMIF('Project Pipeline'!C2:C51, "DS-CLN-024", 'Financial Tracking'!B2:B51)</f>
        <v>0</v>
      </c>
    </row>
    <row r="26" spans="1:7" ht="20.100000000000001" customHeight="1">
      <c r="A26" s="8" t="s">
        <v>118</v>
      </c>
      <c r="B26" s="2" t="s">
        <v>119</v>
      </c>
      <c r="C26" s="2" t="s">
        <v>120</v>
      </c>
      <c r="D26" s="2" t="s">
        <v>121</v>
      </c>
      <c r="E26" s="3" t="s">
        <v>24</v>
      </c>
      <c r="F26" s="3">
        <f>COUNTIF('Project Pipeline'!C2:C51, "DS-CLN-025")</f>
        <v>0</v>
      </c>
      <c r="G26" s="30">
        <f>SUMIF('Project Pipeline'!C2:C51, "DS-CLN-025", 'Financial Tracking'!B2:B51)</f>
        <v>0</v>
      </c>
    </row>
    <row r="27" spans="1:7" ht="20.100000000000001" customHeight="1">
      <c r="A27" s="11" t="s">
        <v>122</v>
      </c>
      <c r="B27" s="20" t="s">
        <v>123</v>
      </c>
      <c r="C27" s="20" t="s">
        <v>124</v>
      </c>
      <c r="D27" s="20" t="s">
        <v>125</v>
      </c>
      <c r="E27" s="21" t="s">
        <v>24</v>
      </c>
      <c r="F27" s="21">
        <f>COUNTIF('Project Pipeline'!C2:C51, "DS-CLN-026")</f>
        <v>0</v>
      </c>
      <c r="G27" s="31">
        <f>SUMIF('Project Pipeline'!C2:C51, "DS-CLN-026", 'Financial Tracking'!B2:B51)</f>
        <v>0</v>
      </c>
    </row>
    <row r="28" spans="1:7" ht="20.100000000000001" customHeight="1">
      <c r="A28" s="8" t="s">
        <v>126</v>
      </c>
      <c r="B28" s="2" t="s">
        <v>127</v>
      </c>
      <c r="C28" s="2" t="s">
        <v>128</v>
      </c>
      <c r="D28" s="2" t="s">
        <v>129</v>
      </c>
      <c r="E28" s="3" t="s">
        <v>24</v>
      </c>
      <c r="F28" s="3">
        <f>COUNTIF('Project Pipeline'!C2:C51, "DS-CLN-027")</f>
        <v>0</v>
      </c>
      <c r="G28" s="30">
        <f>SUMIF('Project Pipeline'!C2:C51, "DS-CLN-027", 'Financial Tracking'!B2:B51)</f>
        <v>0</v>
      </c>
    </row>
    <row r="29" spans="1:7" ht="20.100000000000001" customHeight="1">
      <c r="A29" s="11" t="s">
        <v>130</v>
      </c>
      <c r="B29" s="20" t="s">
        <v>131</v>
      </c>
      <c r="C29" s="20" t="s">
        <v>132</v>
      </c>
      <c r="D29" s="20" t="s">
        <v>133</v>
      </c>
      <c r="E29" s="21" t="s">
        <v>49</v>
      </c>
      <c r="F29" s="21">
        <f>COUNTIF('Project Pipeline'!C2:C51, "DS-CLN-028")</f>
        <v>0</v>
      </c>
      <c r="G29" s="31">
        <f>SUMIF('Project Pipeline'!C2:C51, "DS-CLN-028", 'Financial Tracking'!B2:B51)</f>
        <v>0</v>
      </c>
    </row>
    <row r="30" spans="1:7" ht="20.100000000000001" customHeight="1">
      <c r="A30" s="8" t="s">
        <v>134</v>
      </c>
      <c r="B30" s="2" t="s">
        <v>135</v>
      </c>
      <c r="C30" s="2" t="s">
        <v>136</v>
      </c>
      <c r="D30" s="2" t="s">
        <v>137</v>
      </c>
      <c r="E30" s="3" t="s">
        <v>24</v>
      </c>
      <c r="F30" s="3">
        <f>COUNTIF('Project Pipeline'!C2:C51, "DS-CLN-029")</f>
        <v>0</v>
      </c>
      <c r="G30" s="30">
        <f>SUMIF('Project Pipeline'!C2:C51, "DS-CLN-029", 'Financial Tracking'!B2:B51)</f>
        <v>0</v>
      </c>
    </row>
    <row r="31" spans="1:7" ht="20.100000000000001" customHeight="1">
      <c r="A31" s="11" t="s">
        <v>138</v>
      </c>
      <c r="B31" s="20" t="s">
        <v>139</v>
      </c>
      <c r="C31" s="20" t="s">
        <v>140</v>
      </c>
      <c r="D31" s="20" t="s">
        <v>141</v>
      </c>
      <c r="E31" s="21" t="s">
        <v>24</v>
      </c>
      <c r="F31" s="21">
        <f>COUNTIF('Project Pipeline'!C2:C51, "DS-CLN-030")</f>
        <v>0</v>
      </c>
      <c r="G31" s="31">
        <f>SUMIF('Project Pipeline'!C2:C51, "DS-CLN-030", 'Financial Tracking'!B2:B51)</f>
        <v>0</v>
      </c>
    </row>
    <row r="32" spans="1:7" ht="20.100000000000001" customHeight="1">
      <c r="A32" s="8" t="s">
        <v>142</v>
      </c>
      <c r="B32" s="2" t="s">
        <v>143</v>
      </c>
      <c r="C32" s="2" t="s">
        <v>144</v>
      </c>
      <c r="D32" s="2" t="s">
        <v>145</v>
      </c>
      <c r="E32" s="3" t="s">
        <v>24</v>
      </c>
      <c r="F32" s="3">
        <f>COUNTIF('Project Pipeline'!C2:C51, "DS-CLN-031")</f>
        <v>0</v>
      </c>
      <c r="G32" s="30">
        <f>SUMIF('Project Pipeline'!C2:C51, "DS-CLN-031", 'Financial Tracking'!B2:B51)</f>
        <v>0</v>
      </c>
    </row>
    <row r="33" spans="1:7" ht="20.100000000000001" customHeight="1">
      <c r="A33" s="11" t="s">
        <v>146</v>
      </c>
      <c r="B33" s="20" t="s">
        <v>147</v>
      </c>
      <c r="C33" s="20" t="s">
        <v>148</v>
      </c>
      <c r="D33" s="20" t="s">
        <v>149</v>
      </c>
      <c r="E33" s="21" t="s">
        <v>24</v>
      </c>
      <c r="F33" s="21">
        <f>COUNTIF('Project Pipeline'!C2:C51, "DS-CLN-032")</f>
        <v>0</v>
      </c>
      <c r="G33" s="31">
        <f>SUMIF('Project Pipeline'!C2:C51, "DS-CLN-032", 'Financial Tracking'!B2:B51)</f>
        <v>0</v>
      </c>
    </row>
    <row r="34" spans="1:7" ht="20.100000000000001" customHeight="1">
      <c r="A34" s="8" t="s">
        <v>150</v>
      </c>
      <c r="B34" s="2" t="s">
        <v>151</v>
      </c>
      <c r="C34" s="2" t="s">
        <v>152</v>
      </c>
      <c r="D34" s="2" t="s">
        <v>153</v>
      </c>
      <c r="E34" s="3" t="s">
        <v>24</v>
      </c>
      <c r="F34" s="3">
        <f>COUNTIF('Project Pipeline'!C2:C51, "DS-CLN-033")</f>
        <v>0</v>
      </c>
      <c r="G34" s="30">
        <f>SUMIF('Project Pipeline'!C2:C51, "DS-CLN-033", 'Financial Tracking'!B2:B51)</f>
        <v>0</v>
      </c>
    </row>
    <row r="35" spans="1:7" ht="20.100000000000001" customHeight="1">
      <c r="A35" s="11" t="s">
        <v>154</v>
      </c>
      <c r="B35" s="20" t="s">
        <v>155</v>
      </c>
      <c r="C35" s="20" t="s">
        <v>156</v>
      </c>
      <c r="D35" s="20" t="s">
        <v>157</v>
      </c>
      <c r="E35" s="21" t="s">
        <v>24</v>
      </c>
      <c r="F35" s="21">
        <f>COUNTIF('Project Pipeline'!C2:C51, "DS-CLN-034")</f>
        <v>0</v>
      </c>
      <c r="G35" s="31">
        <f>SUMIF('Project Pipeline'!C2:C51, "DS-CLN-034", 'Financial Tracking'!B2:B51)</f>
        <v>0</v>
      </c>
    </row>
    <row r="36" spans="1:7" ht="20.100000000000001" customHeight="1">
      <c r="A36" s="8" t="s">
        <v>158</v>
      </c>
      <c r="B36" s="2" t="s">
        <v>159</v>
      </c>
      <c r="C36" s="2" t="s">
        <v>160</v>
      </c>
      <c r="D36" s="2" t="s">
        <v>161</v>
      </c>
      <c r="E36" s="3" t="s">
        <v>49</v>
      </c>
      <c r="F36" s="3">
        <f>COUNTIF('Project Pipeline'!C2:C51, "DS-CLN-035")</f>
        <v>0</v>
      </c>
      <c r="G36" s="30">
        <f>SUMIF('Project Pipeline'!C2:C51, "DS-CLN-035", 'Financial Tracking'!B2:B51)</f>
        <v>0</v>
      </c>
    </row>
    <row r="37" spans="1:7" ht="20.100000000000001" customHeight="1">
      <c r="A37" s="11" t="s">
        <v>162</v>
      </c>
      <c r="B37" s="20" t="s">
        <v>163</v>
      </c>
      <c r="C37" s="20" t="s">
        <v>164</v>
      </c>
      <c r="D37" s="20" t="s">
        <v>165</v>
      </c>
      <c r="E37" s="21" t="s">
        <v>24</v>
      </c>
      <c r="F37" s="21">
        <f>COUNTIF('Project Pipeline'!C2:C51, "DS-CLN-036")</f>
        <v>0</v>
      </c>
      <c r="G37" s="31">
        <f>SUMIF('Project Pipeline'!C2:C51, "DS-CLN-036", 'Financial Tracking'!B2:B51)</f>
        <v>0</v>
      </c>
    </row>
    <row r="38" spans="1:7" ht="20.100000000000001" customHeight="1">
      <c r="A38" s="8" t="s">
        <v>166</v>
      </c>
      <c r="B38" s="2" t="s">
        <v>167</v>
      </c>
      <c r="C38" s="2" t="s">
        <v>168</v>
      </c>
      <c r="D38" s="2" t="s">
        <v>169</v>
      </c>
      <c r="E38" s="3" t="s">
        <v>24</v>
      </c>
      <c r="F38" s="3">
        <f>COUNTIF('Project Pipeline'!C2:C51, "DS-CLN-037")</f>
        <v>0</v>
      </c>
      <c r="G38" s="30">
        <f>SUMIF('Project Pipeline'!C2:C51, "DS-CLN-037", 'Financial Tracking'!B2:B51)</f>
        <v>0</v>
      </c>
    </row>
    <row r="39" spans="1:7" ht="20.100000000000001" customHeight="1">
      <c r="A39" s="11" t="s">
        <v>170</v>
      </c>
      <c r="B39" s="20" t="s">
        <v>171</v>
      </c>
      <c r="C39" s="20" t="s">
        <v>172</v>
      </c>
      <c r="D39" s="20" t="s">
        <v>173</v>
      </c>
      <c r="E39" s="21" t="s">
        <v>24</v>
      </c>
      <c r="F39" s="21">
        <f>COUNTIF('Project Pipeline'!C2:C51, "DS-CLN-038")</f>
        <v>0</v>
      </c>
      <c r="G39" s="31">
        <f>SUMIF('Project Pipeline'!C2:C51, "DS-CLN-038", 'Financial Tracking'!B2:B51)</f>
        <v>0</v>
      </c>
    </row>
    <row r="40" spans="1:7" ht="20.100000000000001" customHeight="1">
      <c r="A40" s="8" t="s">
        <v>174</v>
      </c>
      <c r="B40" s="2" t="s">
        <v>175</v>
      </c>
      <c r="C40" s="2" t="s">
        <v>176</v>
      </c>
      <c r="D40" s="2" t="s">
        <v>177</v>
      </c>
      <c r="E40" s="3" t="s">
        <v>24</v>
      </c>
      <c r="F40" s="3">
        <f>COUNTIF('Project Pipeline'!C2:C51, "DS-CLN-039")</f>
        <v>0</v>
      </c>
      <c r="G40" s="30">
        <f>SUMIF('Project Pipeline'!C2:C51, "DS-CLN-039", 'Financial Tracking'!B2:B51)</f>
        <v>0</v>
      </c>
    </row>
    <row r="41" spans="1:7" ht="20.100000000000001" customHeight="1">
      <c r="A41" s="11" t="s">
        <v>178</v>
      </c>
      <c r="B41" s="20" t="s">
        <v>179</v>
      </c>
      <c r="C41" s="20" t="s">
        <v>180</v>
      </c>
      <c r="D41" s="20" t="s">
        <v>181</v>
      </c>
      <c r="E41" s="21" t="s">
        <v>24</v>
      </c>
      <c r="F41" s="21">
        <f>COUNTIF('Project Pipeline'!C2:C51, "DS-CLN-040")</f>
        <v>0</v>
      </c>
      <c r="G41" s="31">
        <f>SUMIF('Project Pipeline'!C2:C51, "DS-CLN-040", 'Financial Tracking'!B2:B51)</f>
        <v>0</v>
      </c>
    </row>
    <row r="42" spans="1:7" ht="20.100000000000001" customHeight="1">
      <c r="A42" s="8" t="s">
        <v>182</v>
      </c>
      <c r="B42" s="2" t="s">
        <v>183</v>
      </c>
      <c r="C42" s="2" t="s">
        <v>184</v>
      </c>
      <c r="D42" s="2" t="s">
        <v>185</v>
      </c>
      <c r="E42" s="3" t="s">
        <v>24</v>
      </c>
      <c r="F42" s="3">
        <f>COUNTIF('Project Pipeline'!C2:C51, "DS-CLN-041")</f>
        <v>0</v>
      </c>
      <c r="G42" s="30">
        <f>SUMIF('Project Pipeline'!C2:C51, "DS-CLN-041", 'Financial Tracking'!B2:B51)</f>
        <v>0</v>
      </c>
    </row>
    <row r="43" spans="1:7" ht="20.100000000000001" customHeight="1">
      <c r="A43" s="11" t="s">
        <v>186</v>
      </c>
      <c r="B43" s="20" t="s">
        <v>187</v>
      </c>
      <c r="C43" s="20" t="s">
        <v>188</v>
      </c>
      <c r="D43" s="20" t="s">
        <v>189</v>
      </c>
      <c r="E43" s="21" t="s">
        <v>49</v>
      </c>
      <c r="F43" s="21">
        <f>COUNTIF('Project Pipeline'!C2:C51, "DS-CLN-042")</f>
        <v>0</v>
      </c>
      <c r="G43" s="31">
        <f>SUMIF('Project Pipeline'!C2:C51, "DS-CLN-042", 'Financial Tracking'!B2:B51)</f>
        <v>0</v>
      </c>
    </row>
    <row r="44" spans="1:7" ht="20.100000000000001" customHeight="1">
      <c r="A44" s="8" t="s">
        <v>190</v>
      </c>
      <c r="B44" s="2" t="s">
        <v>191</v>
      </c>
      <c r="C44" s="2" t="s">
        <v>192</v>
      </c>
      <c r="D44" s="2" t="s">
        <v>193</v>
      </c>
      <c r="E44" s="3" t="s">
        <v>24</v>
      </c>
      <c r="F44" s="3">
        <f>COUNTIF('Project Pipeline'!C2:C51, "DS-CLN-043")</f>
        <v>0</v>
      </c>
      <c r="G44" s="30">
        <f>SUMIF('Project Pipeline'!C2:C51, "DS-CLN-043", 'Financial Tracking'!B2:B51)</f>
        <v>0</v>
      </c>
    </row>
    <row r="45" spans="1:7" ht="20.100000000000001" customHeight="1">
      <c r="A45" s="11" t="s">
        <v>194</v>
      </c>
      <c r="B45" s="20" t="s">
        <v>195</v>
      </c>
      <c r="C45" s="20" t="s">
        <v>196</v>
      </c>
      <c r="D45" s="20" t="s">
        <v>197</v>
      </c>
      <c r="E45" s="21" t="s">
        <v>24</v>
      </c>
      <c r="F45" s="21">
        <f>COUNTIF('Project Pipeline'!C2:C51, "DS-CLN-044")</f>
        <v>0</v>
      </c>
      <c r="G45" s="31">
        <f>SUMIF('Project Pipeline'!C2:C51, "DS-CLN-044", 'Financial Tracking'!B2:B51)</f>
        <v>0</v>
      </c>
    </row>
    <row r="46" spans="1:7" ht="20.100000000000001" customHeight="1">
      <c r="A46" s="8" t="s">
        <v>198</v>
      </c>
      <c r="B46" s="2" t="s">
        <v>199</v>
      </c>
      <c r="C46" s="2" t="s">
        <v>200</v>
      </c>
      <c r="D46" s="2" t="s">
        <v>201</v>
      </c>
      <c r="E46" s="3" t="s">
        <v>24</v>
      </c>
      <c r="F46" s="3">
        <f>COUNTIF('Project Pipeline'!C2:C51, "DS-CLN-045")</f>
        <v>0</v>
      </c>
      <c r="G46" s="30">
        <f>SUMIF('Project Pipeline'!C2:C51, "DS-CLN-045", 'Financial Tracking'!B2:B51)</f>
        <v>0</v>
      </c>
    </row>
    <row r="47" spans="1:7" ht="20.100000000000001" customHeight="1">
      <c r="A47" s="11" t="s">
        <v>202</v>
      </c>
      <c r="B47" s="20" t="s">
        <v>203</v>
      </c>
      <c r="C47" s="20" t="s">
        <v>204</v>
      </c>
      <c r="D47" s="20" t="s">
        <v>205</v>
      </c>
      <c r="E47" s="21" t="s">
        <v>24</v>
      </c>
      <c r="F47" s="21">
        <f>COUNTIF('Project Pipeline'!C2:C51, "DS-CLN-046")</f>
        <v>0</v>
      </c>
      <c r="G47" s="31">
        <f>SUMIF('Project Pipeline'!C2:C51, "DS-CLN-046", 'Financial Tracking'!B2:B51)</f>
        <v>0</v>
      </c>
    </row>
    <row r="48" spans="1:7" ht="20.100000000000001" customHeight="1">
      <c r="A48" s="8" t="s">
        <v>206</v>
      </c>
      <c r="B48" s="2" t="s">
        <v>207</v>
      </c>
      <c r="C48" s="2" t="s">
        <v>208</v>
      </c>
      <c r="D48" s="2" t="s">
        <v>209</v>
      </c>
      <c r="E48" s="3" t="s">
        <v>24</v>
      </c>
      <c r="F48" s="3">
        <f>COUNTIF('Project Pipeline'!C2:C51, "DS-CLN-047")</f>
        <v>0</v>
      </c>
      <c r="G48" s="30">
        <f>SUMIF('Project Pipeline'!C2:C51, "DS-CLN-047", 'Financial Tracking'!B2:B51)</f>
        <v>0</v>
      </c>
    </row>
    <row r="49" spans="1:7" ht="20.100000000000001" customHeight="1">
      <c r="A49" s="11" t="s">
        <v>210</v>
      </c>
      <c r="B49" s="20" t="s">
        <v>211</v>
      </c>
      <c r="C49" s="20" t="s">
        <v>212</v>
      </c>
      <c r="D49" s="20" t="s">
        <v>213</v>
      </c>
      <c r="E49" s="21" t="s">
        <v>24</v>
      </c>
      <c r="F49" s="21">
        <f>COUNTIF('Project Pipeline'!C2:C51, "DS-CLN-048")</f>
        <v>0</v>
      </c>
      <c r="G49" s="31">
        <f>SUMIF('Project Pipeline'!C2:C51, "DS-CLN-048", 'Financial Tracking'!B2:B51)</f>
        <v>0</v>
      </c>
    </row>
    <row r="50" spans="1:7" ht="20.100000000000001" customHeight="1">
      <c r="A50" s="8" t="s">
        <v>214</v>
      </c>
      <c r="B50" s="2" t="s">
        <v>215</v>
      </c>
      <c r="C50" s="2" t="s">
        <v>216</v>
      </c>
      <c r="D50" s="2" t="s">
        <v>217</v>
      </c>
      <c r="E50" s="3" t="s">
        <v>49</v>
      </c>
      <c r="F50" s="3">
        <f>COUNTIF('Project Pipeline'!C2:C51, "DS-CLN-049")</f>
        <v>0</v>
      </c>
      <c r="G50" s="30">
        <f>SUMIF('Project Pipeline'!C2:C51, "DS-CLN-049", 'Financial Tracking'!B2:B51)</f>
        <v>0</v>
      </c>
    </row>
    <row r="51" spans="1:7" ht="20.100000000000001" customHeight="1">
      <c r="A51" s="24" t="s">
        <v>218</v>
      </c>
      <c r="B51" s="25" t="s">
        <v>219</v>
      </c>
      <c r="C51" s="25" t="s">
        <v>220</v>
      </c>
      <c r="D51" s="25" t="s">
        <v>221</v>
      </c>
      <c r="E51" s="26" t="s">
        <v>24</v>
      </c>
      <c r="F51" s="26">
        <f>COUNTIF('Project Pipeline'!C2:C51, "DS-CLN-050")</f>
        <v>0</v>
      </c>
      <c r="G51" s="32">
        <f>SUMIF('Project Pipeline'!C2:C51, "DS-CLN-050", 'Financial Tracking'!B2:B51)</f>
        <v>0</v>
      </c>
    </row>
  </sheetData>
  <conditionalFormatting sqref="E2:E51">
    <cfRule type="cellIs" dxfId="47" priority="2" operator="equal">
      <formula>"Inactive"</formula>
    </cfRule>
    <cfRule type="cellIs" dxfId="48" priority="1" operator="equal">
      <formula>"active"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selection activeCell="J1" sqref="J1:J1048576"/>
    </sheetView>
  </sheetViews>
  <sheetFormatPr defaultRowHeight="15"/>
  <cols>
    <col min="1" max="1" width="14" customWidth="1"/>
    <col min="2" max="2" width="23" customWidth="1"/>
    <col min="3" max="3" width="14" customWidth="1"/>
    <col min="4" max="4" width="16" customWidth="1"/>
    <col min="5" max="5" width="21.7109375" customWidth="1"/>
    <col min="6" max="7" width="14" customWidth="1"/>
    <col min="8" max="8" width="15" customWidth="1"/>
    <col min="9" max="9" width="16" customWidth="1"/>
    <col min="10" max="10" width="21.28515625" bestFit="1" customWidth="1"/>
  </cols>
  <sheetData>
    <row r="1" spans="1:10" ht="26.1" customHeight="1">
      <c r="A1" s="5" t="s">
        <v>222</v>
      </c>
      <c r="B1" s="6" t="s">
        <v>223</v>
      </c>
      <c r="C1" s="6" t="s">
        <v>13</v>
      </c>
      <c r="D1" s="6" t="s">
        <v>224</v>
      </c>
      <c r="E1" s="6" t="s">
        <v>225</v>
      </c>
      <c r="F1" s="6" t="s">
        <v>226</v>
      </c>
      <c r="G1" s="6" t="s">
        <v>227</v>
      </c>
      <c r="H1" s="6" t="s">
        <v>17</v>
      </c>
      <c r="I1" s="6" t="s">
        <v>228</v>
      </c>
      <c r="J1" s="7" t="s">
        <v>229</v>
      </c>
    </row>
    <row r="2" spans="1:10" ht="20.100000000000001" customHeight="1">
      <c r="A2" s="8" t="s">
        <v>230</v>
      </c>
      <c r="B2" s="2" t="s">
        <v>231</v>
      </c>
      <c r="C2" s="3" t="s">
        <v>25</v>
      </c>
      <c r="D2" s="2" t="s">
        <v>232</v>
      </c>
      <c r="E2" s="2" t="s">
        <v>233</v>
      </c>
      <c r="F2" s="18">
        <v>46144</v>
      </c>
      <c r="G2" s="18">
        <v>46158</v>
      </c>
      <c r="H2" s="3" t="s">
        <v>7</v>
      </c>
      <c r="I2" s="19">
        <v>0.5</v>
      </c>
      <c r="J2" s="10" t="str">
        <f t="shared" ref="J2:J33" ca="1" si="0">IF(H2="Approved", "Completed", IF(G2&lt;TODAY(), "OVERDUE", "On Track"))</f>
        <v>OVERDUE</v>
      </c>
    </row>
    <row r="3" spans="1:10" ht="20.100000000000001" customHeight="1">
      <c r="A3" s="11" t="s">
        <v>234</v>
      </c>
      <c r="B3" s="20" t="s">
        <v>235</v>
      </c>
      <c r="C3" s="21" t="s">
        <v>29</v>
      </c>
      <c r="D3" s="20" t="s">
        <v>236</v>
      </c>
      <c r="E3" s="20" t="s">
        <v>237</v>
      </c>
      <c r="F3" s="22">
        <v>46145</v>
      </c>
      <c r="G3" s="22">
        <v>46159</v>
      </c>
      <c r="H3" s="21" t="s">
        <v>9</v>
      </c>
      <c r="I3" s="23">
        <v>0.5</v>
      </c>
      <c r="J3" s="13" t="str">
        <f t="shared" ca="1" si="0"/>
        <v>OVERDUE</v>
      </c>
    </row>
    <row r="4" spans="1:10" ht="20.100000000000001" customHeight="1">
      <c r="A4" s="8" t="s">
        <v>238</v>
      </c>
      <c r="B4" s="2" t="s">
        <v>239</v>
      </c>
      <c r="C4" s="3" t="s">
        <v>33</v>
      </c>
      <c r="D4" s="2" t="s">
        <v>240</v>
      </c>
      <c r="E4" s="2" t="s">
        <v>241</v>
      </c>
      <c r="F4" s="18">
        <v>46146</v>
      </c>
      <c r="G4" s="18">
        <v>46160</v>
      </c>
      <c r="H4" s="3" t="s">
        <v>11</v>
      </c>
      <c r="I4" s="19">
        <v>1</v>
      </c>
      <c r="J4" s="10" t="str">
        <f t="shared" ca="1" si="0"/>
        <v>Completed</v>
      </c>
    </row>
    <row r="5" spans="1:10" ht="20.100000000000001" customHeight="1">
      <c r="A5" s="11" t="s">
        <v>242</v>
      </c>
      <c r="B5" s="20" t="s">
        <v>243</v>
      </c>
      <c r="C5" s="21" t="s">
        <v>37</v>
      </c>
      <c r="D5" s="20" t="s">
        <v>244</v>
      </c>
      <c r="E5" s="20" t="s">
        <v>245</v>
      </c>
      <c r="F5" s="22">
        <v>46147</v>
      </c>
      <c r="G5" s="22">
        <v>46161</v>
      </c>
      <c r="H5" s="21" t="s">
        <v>12</v>
      </c>
      <c r="I5" s="23">
        <v>0.5</v>
      </c>
      <c r="J5" s="13" t="str">
        <f t="shared" ca="1" si="0"/>
        <v>OVERDUE</v>
      </c>
    </row>
    <row r="6" spans="1:10" ht="20.100000000000001" customHeight="1">
      <c r="A6" s="8" t="s">
        <v>246</v>
      </c>
      <c r="B6" s="2" t="s">
        <v>247</v>
      </c>
      <c r="C6" s="3" t="s">
        <v>41</v>
      </c>
      <c r="D6" s="2" t="s">
        <v>248</v>
      </c>
      <c r="E6" s="2" t="s">
        <v>233</v>
      </c>
      <c r="F6" s="18">
        <v>46148</v>
      </c>
      <c r="G6" s="18">
        <v>46162</v>
      </c>
      <c r="H6" s="3" t="s">
        <v>5</v>
      </c>
      <c r="I6" s="19">
        <v>0</v>
      </c>
      <c r="J6" s="10" t="str">
        <f t="shared" ca="1" si="0"/>
        <v>OVERDUE</v>
      </c>
    </row>
    <row r="7" spans="1:10" ht="20.100000000000001" customHeight="1">
      <c r="A7" s="11" t="s">
        <v>249</v>
      </c>
      <c r="B7" s="20" t="s">
        <v>250</v>
      </c>
      <c r="C7" s="21" t="s">
        <v>45</v>
      </c>
      <c r="D7" s="20" t="s">
        <v>232</v>
      </c>
      <c r="E7" s="20" t="s">
        <v>237</v>
      </c>
      <c r="F7" s="22">
        <v>46149</v>
      </c>
      <c r="G7" s="22">
        <v>46163</v>
      </c>
      <c r="H7" s="21" t="s">
        <v>7</v>
      </c>
      <c r="I7" s="23">
        <v>0.5</v>
      </c>
      <c r="J7" s="13" t="str">
        <f t="shared" ca="1" si="0"/>
        <v>OVERDUE</v>
      </c>
    </row>
    <row r="8" spans="1:10" ht="20.100000000000001" customHeight="1">
      <c r="A8" s="8" t="s">
        <v>251</v>
      </c>
      <c r="B8" s="2" t="s">
        <v>252</v>
      </c>
      <c r="C8" s="3" t="s">
        <v>50</v>
      </c>
      <c r="D8" s="2" t="s">
        <v>236</v>
      </c>
      <c r="E8" s="2" t="s">
        <v>241</v>
      </c>
      <c r="F8" s="18">
        <v>46150</v>
      </c>
      <c r="G8" s="18">
        <v>46164</v>
      </c>
      <c r="H8" s="3" t="s">
        <v>9</v>
      </c>
      <c r="I8" s="19">
        <v>0.5</v>
      </c>
      <c r="J8" s="10" t="str">
        <f t="shared" ca="1" si="0"/>
        <v>OVERDUE</v>
      </c>
    </row>
    <row r="9" spans="1:10" ht="20.100000000000001" customHeight="1">
      <c r="A9" s="11" t="s">
        <v>253</v>
      </c>
      <c r="B9" s="20" t="s">
        <v>254</v>
      </c>
      <c r="C9" s="21" t="s">
        <v>54</v>
      </c>
      <c r="D9" s="20" t="s">
        <v>240</v>
      </c>
      <c r="E9" s="20" t="s">
        <v>245</v>
      </c>
      <c r="F9" s="22">
        <v>46151</v>
      </c>
      <c r="G9" s="22">
        <v>46165</v>
      </c>
      <c r="H9" s="21" t="s">
        <v>11</v>
      </c>
      <c r="I9" s="23">
        <v>1</v>
      </c>
      <c r="J9" s="13" t="str">
        <f t="shared" ca="1" si="0"/>
        <v>Completed</v>
      </c>
    </row>
    <row r="10" spans="1:10" ht="20.100000000000001" customHeight="1">
      <c r="A10" s="8" t="s">
        <v>255</v>
      </c>
      <c r="B10" s="2" t="s">
        <v>256</v>
      </c>
      <c r="C10" s="3" t="s">
        <v>58</v>
      </c>
      <c r="D10" s="2" t="s">
        <v>244</v>
      </c>
      <c r="E10" s="2" t="s">
        <v>233</v>
      </c>
      <c r="F10" s="18">
        <v>46152</v>
      </c>
      <c r="G10" s="18">
        <v>46166</v>
      </c>
      <c r="H10" s="3" t="s">
        <v>12</v>
      </c>
      <c r="I10" s="19">
        <v>0.5</v>
      </c>
      <c r="J10" s="10" t="str">
        <f t="shared" ca="1" si="0"/>
        <v>OVERDUE</v>
      </c>
    </row>
    <row r="11" spans="1:10" ht="20.100000000000001" customHeight="1">
      <c r="A11" s="11" t="s">
        <v>257</v>
      </c>
      <c r="B11" s="20" t="s">
        <v>258</v>
      </c>
      <c r="C11" s="21" t="s">
        <v>20</v>
      </c>
      <c r="D11" s="20" t="s">
        <v>248</v>
      </c>
      <c r="E11" s="20" t="s">
        <v>237</v>
      </c>
      <c r="F11" s="22">
        <v>46153</v>
      </c>
      <c r="G11" s="22">
        <v>46167</v>
      </c>
      <c r="H11" s="21" t="s">
        <v>5</v>
      </c>
      <c r="I11" s="23">
        <v>0</v>
      </c>
      <c r="J11" s="13" t="str">
        <f t="shared" ca="1" si="0"/>
        <v>OVERDUE</v>
      </c>
    </row>
    <row r="12" spans="1:10" ht="20.100000000000001" customHeight="1">
      <c r="A12" s="8" t="s">
        <v>259</v>
      </c>
      <c r="B12" s="2" t="s">
        <v>260</v>
      </c>
      <c r="C12" s="3" t="s">
        <v>25</v>
      </c>
      <c r="D12" s="2" t="s">
        <v>232</v>
      </c>
      <c r="E12" s="2" t="s">
        <v>241</v>
      </c>
      <c r="F12" s="18">
        <v>46154</v>
      </c>
      <c r="G12" s="18">
        <v>46168</v>
      </c>
      <c r="H12" s="3" t="s">
        <v>7</v>
      </c>
      <c r="I12" s="19">
        <v>0.5</v>
      </c>
      <c r="J12" s="10" t="str">
        <f t="shared" ca="1" si="0"/>
        <v>OVERDUE</v>
      </c>
    </row>
    <row r="13" spans="1:10" ht="20.100000000000001" customHeight="1">
      <c r="A13" s="11" t="s">
        <v>261</v>
      </c>
      <c r="B13" s="20" t="s">
        <v>262</v>
      </c>
      <c r="C13" s="21" t="s">
        <v>29</v>
      </c>
      <c r="D13" s="20" t="s">
        <v>236</v>
      </c>
      <c r="E13" s="20" t="s">
        <v>245</v>
      </c>
      <c r="F13" s="22">
        <v>46155</v>
      </c>
      <c r="G13" s="22">
        <v>46169</v>
      </c>
      <c r="H13" s="21" t="s">
        <v>9</v>
      </c>
      <c r="I13" s="23">
        <v>0.5</v>
      </c>
      <c r="J13" s="13" t="str">
        <f t="shared" ca="1" si="0"/>
        <v>OVERDUE</v>
      </c>
    </row>
    <row r="14" spans="1:10" ht="20.100000000000001" customHeight="1">
      <c r="A14" s="8" t="s">
        <v>263</v>
      </c>
      <c r="B14" s="2" t="s">
        <v>264</v>
      </c>
      <c r="C14" s="3" t="s">
        <v>33</v>
      </c>
      <c r="D14" s="2" t="s">
        <v>240</v>
      </c>
      <c r="E14" s="2" t="s">
        <v>233</v>
      </c>
      <c r="F14" s="18">
        <v>46156</v>
      </c>
      <c r="G14" s="18">
        <v>46170</v>
      </c>
      <c r="H14" s="3" t="s">
        <v>11</v>
      </c>
      <c r="I14" s="19">
        <v>1</v>
      </c>
      <c r="J14" s="10" t="str">
        <f t="shared" ca="1" si="0"/>
        <v>Completed</v>
      </c>
    </row>
    <row r="15" spans="1:10" ht="20.100000000000001" customHeight="1">
      <c r="A15" s="11" t="s">
        <v>265</v>
      </c>
      <c r="B15" s="20" t="s">
        <v>266</v>
      </c>
      <c r="C15" s="21" t="s">
        <v>37</v>
      </c>
      <c r="D15" s="20" t="s">
        <v>244</v>
      </c>
      <c r="E15" s="20" t="s">
        <v>237</v>
      </c>
      <c r="F15" s="22">
        <v>46157</v>
      </c>
      <c r="G15" s="22">
        <v>46171</v>
      </c>
      <c r="H15" s="21" t="s">
        <v>12</v>
      </c>
      <c r="I15" s="23">
        <v>0.5</v>
      </c>
      <c r="J15" s="13" t="str">
        <f t="shared" ca="1" si="0"/>
        <v>OVERDUE</v>
      </c>
    </row>
    <row r="16" spans="1:10" ht="20.100000000000001" customHeight="1">
      <c r="A16" s="8" t="s">
        <v>267</v>
      </c>
      <c r="B16" s="2" t="s">
        <v>268</v>
      </c>
      <c r="C16" s="3" t="s">
        <v>41</v>
      </c>
      <c r="D16" s="2" t="s">
        <v>248</v>
      </c>
      <c r="E16" s="2" t="s">
        <v>241</v>
      </c>
      <c r="F16" s="18">
        <v>46158</v>
      </c>
      <c r="G16" s="18">
        <v>46172</v>
      </c>
      <c r="H16" s="3" t="s">
        <v>5</v>
      </c>
      <c r="I16" s="19">
        <v>0</v>
      </c>
      <c r="J16" s="10" t="str">
        <f t="shared" ca="1" si="0"/>
        <v>OVERDUE</v>
      </c>
    </row>
    <row r="17" spans="1:10" ht="20.100000000000001" customHeight="1">
      <c r="A17" s="11" t="s">
        <v>269</v>
      </c>
      <c r="B17" s="20" t="s">
        <v>270</v>
      </c>
      <c r="C17" s="21" t="s">
        <v>45</v>
      </c>
      <c r="D17" s="20" t="s">
        <v>232</v>
      </c>
      <c r="E17" s="20" t="s">
        <v>245</v>
      </c>
      <c r="F17" s="22">
        <v>46159</v>
      </c>
      <c r="G17" s="22">
        <v>46173</v>
      </c>
      <c r="H17" s="21" t="s">
        <v>7</v>
      </c>
      <c r="I17" s="23">
        <v>0.5</v>
      </c>
      <c r="J17" s="13" t="str">
        <f t="shared" ca="1" si="0"/>
        <v>OVERDUE</v>
      </c>
    </row>
    <row r="18" spans="1:10" ht="20.100000000000001" customHeight="1">
      <c r="A18" s="8" t="s">
        <v>271</v>
      </c>
      <c r="B18" s="2" t="s">
        <v>272</v>
      </c>
      <c r="C18" s="3" t="s">
        <v>50</v>
      </c>
      <c r="D18" s="2" t="s">
        <v>236</v>
      </c>
      <c r="E18" s="2" t="s">
        <v>233</v>
      </c>
      <c r="F18" s="18">
        <v>46160</v>
      </c>
      <c r="G18" s="18">
        <v>46174</v>
      </c>
      <c r="H18" s="3" t="s">
        <v>9</v>
      </c>
      <c r="I18" s="19">
        <v>0.5</v>
      </c>
      <c r="J18" s="10" t="str">
        <f t="shared" ca="1" si="0"/>
        <v>OVERDUE</v>
      </c>
    </row>
    <row r="19" spans="1:10" ht="20.100000000000001" customHeight="1">
      <c r="A19" s="11" t="s">
        <v>273</v>
      </c>
      <c r="B19" s="20" t="s">
        <v>274</v>
      </c>
      <c r="C19" s="21" t="s">
        <v>54</v>
      </c>
      <c r="D19" s="20" t="s">
        <v>240</v>
      </c>
      <c r="E19" s="20" t="s">
        <v>237</v>
      </c>
      <c r="F19" s="22">
        <v>46161</v>
      </c>
      <c r="G19" s="22">
        <v>46175</v>
      </c>
      <c r="H19" s="21" t="s">
        <v>11</v>
      </c>
      <c r="I19" s="23">
        <v>1</v>
      </c>
      <c r="J19" s="13" t="str">
        <f t="shared" ca="1" si="0"/>
        <v>Completed</v>
      </c>
    </row>
    <row r="20" spans="1:10" ht="20.100000000000001" customHeight="1">
      <c r="A20" s="8" t="s">
        <v>275</v>
      </c>
      <c r="B20" s="2" t="s">
        <v>276</v>
      </c>
      <c r="C20" s="3" t="s">
        <v>58</v>
      </c>
      <c r="D20" s="2" t="s">
        <v>244</v>
      </c>
      <c r="E20" s="2" t="s">
        <v>241</v>
      </c>
      <c r="F20" s="18">
        <v>46162</v>
      </c>
      <c r="G20" s="18">
        <v>46176</v>
      </c>
      <c r="H20" s="3" t="s">
        <v>12</v>
      </c>
      <c r="I20" s="19">
        <v>0.5</v>
      </c>
      <c r="J20" s="10" t="str">
        <f t="shared" ca="1" si="0"/>
        <v>OVERDUE</v>
      </c>
    </row>
    <row r="21" spans="1:10" ht="20.100000000000001" customHeight="1">
      <c r="A21" s="11" t="s">
        <v>277</v>
      </c>
      <c r="B21" s="20" t="s">
        <v>278</v>
      </c>
      <c r="C21" s="21" t="s">
        <v>20</v>
      </c>
      <c r="D21" s="20" t="s">
        <v>248</v>
      </c>
      <c r="E21" s="20" t="s">
        <v>245</v>
      </c>
      <c r="F21" s="22">
        <v>46163</v>
      </c>
      <c r="G21" s="22">
        <v>46177</v>
      </c>
      <c r="H21" s="21" t="s">
        <v>5</v>
      </c>
      <c r="I21" s="23">
        <v>0</v>
      </c>
      <c r="J21" s="13" t="str">
        <f t="shared" ca="1" si="0"/>
        <v>OVERDUE</v>
      </c>
    </row>
    <row r="22" spans="1:10" ht="20.100000000000001" customHeight="1">
      <c r="A22" s="8" t="s">
        <v>279</v>
      </c>
      <c r="B22" s="2" t="s">
        <v>280</v>
      </c>
      <c r="C22" s="3" t="s">
        <v>25</v>
      </c>
      <c r="D22" s="2" t="s">
        <v>232</v>
      </c>
      <c r="E22" s="2" t="s">
        <v>233</v>
      </c>
      <c r="F22" s="18">
        <v>46164</v>
      </c>
      <c r="G22" s="18">
        <v>46178</v>
      </c>
      <c r="H22" s="3" t="s">
        <v>7</v>
      </c>
      <c r="I22" s="19">
        <v>0.5</v>
      </c>
      <c r="J22" s="10" t="str">
        <f t="shared" ca="1" si="0"/>
        <v>OVERDUE</v>
      </c>
    </row>
    <row r="23" spans="1:10" ht="20.100000000000001" customHeight="1">
      <c r="A23" s="11" t="s">
        <v>281</v>
      </c>
      <c r="B23" s="20" t="s">
        <v>282</v>
      </c>
      <c r="C23" s="21" t="s">
        <v>29</v>
      </c>
      <c r="D23" s="20" t="s">
        <v>236</v>
      </c>
      <c r="E23" s="20" t="s">
        <v>237</v>
      </c>
      <c r="F23" s="22">
        <v>46165</v>
      </c>
      <c r="G23" s="22">
        <v>46179</v>
      </c>
      <c r="H23" s="21" t="s">
        <v>9</v>
      </c>
      <c r="I23" s="23">
        <v>0.5</v>
      </c>
      <c r="J23" s="13" t="str">
        <f t="shared" ca="1" si="0"/>
        <v>OVERDUE</v>
      </c>
    </row>
    <row r="24" spans="1:10" ht="20.100000000000001" customHeight="1">
      <c r="A24" s="8" t="s">
        <v>283</v>
      </c>
      <c r="B24" s="2" t="s">
        <v>284</v>
      </c>
      <c r="C24" s="3" t="s">
        <v>33</v>
      </c>
      <c r="D24" s="2" t="s">
        <v>240</v>
      </c>
      <c r="E24" s="2" t="s">
        <v>241</v>
      </c>
      <c r="F24" s="18">
        <v>46166</v>
      </c>
      <c r="G24" s="18">
        <v>46180</v>
      </c>
      <c r="H24" s="3" t="s">
        <v>11</v>
      </c>
      <c r="I24" s="19">
        <v>1</v>
      </c>
      <c r="J24" s="10" t="str">
        <f t="shared" ca="1" si="0"/>
        <v>Completed</v>
      </c>
    </row>
    <row r="25" spans="1:10" ht="20.100000000000001" customHeight="1">
      <c r="A25" s="11" t="s">
        <v>285</v>
      </c>
      <c r="B25" s="20" t="s">
        <v>286</v>
      </c>
      <c r="C25" s="21" t="s">
        <v>37</v>
      </c>
      <c r="D25" s="20" t="s">
        <v>244</v>
      </c>
      <c r="E25" s="20" t="s">
        <v>245</v>
      </c>
      <c r="F25" s="22">
        <v>46167</v>
      </c>
      <c r="G25" s="22">
        <v>46181</v>
      </c>
      <c r="H25" s="21" t="s">
        <v>12</v>
      </c>
      <c r="I25" s="23">
        <v>0.5</v>
      </c>
      <c r="J25" s="13" t="str">
        <f t="shared" ca="1" si="0"/>
        <v>OVERDUE</v>
      </c>
    </row>
    <row r="26" spans="1:10" ht="20.100000000000001" customHeight="1">
      <c r="A26" s="8" t="s">
        <v>287</v>
      </c>
      <c r="B26" s="2" t="s">
        <v>288</v>
      </c>
      <c r="C26" s="3" t="s">
        <v>41</v>
      </c>
      <c r="D26" s="2" t="s">
        <v>248</v>
      </c>
      <c r="E26" s="2" t="s">
        <v>233</v>
      </c>
      <c r="F26" s="18">
        <v>46168</v>
      </c>
      <c r="G26" s="18">
        <v>46182</v>
      </c>
      <c r="H26" s="3" t="s">
        <v>5</v>
      </c>
      <c r="I26" s="19">
        <v>0</v>
      </c>
      <c r="J26" s="10" t="str">
        <f t="shared" ca="1" si="0"/>
        <v>OVERDUE</v>
      </c>
    </row>
    <row r="27" spans="1:10" ht="20.100000000000001" customHeight="1">
      <c r="A27" s="11" t="s">
        <v>289</v>
      </c>
      <c r="B27" s="20" t="s">
        <v>290</v>
      </c>
      <c r="C27" s="21" t="s">
        <v>45</v>
      </c>
      <c r="D27" s="20" t="s">
        <v>232</v>
      </c>
      <c r="E27" s="20" t="s">
        <v>237</v>
      </c>
      <c r="F27" s="22">
        <v>46169</v>
      </c>
      <c r="G27" s="22">
        <v>46183</v>
      </c>
      <c r="H27" s="21" t="s">
        <v>7</v>
      </c>
      <c r="I27" s="23">
        <v>0.5</v>
      </c>
      <c r="J27" s="13" t="str">
        <f t="shared" ca="1" si="0"/>
        <v>OVERDUE</v>
      </c>
    </row>
    <row r="28" spans="1:10" ht="20.100000000000001" customHeight="1">
      <c r="A28" s="8" t="s">
        <v>291</v>
      </c>
      <c r="B28" s="2" t="s">
        <v>292</v>
      </c>
      <c r="C28" s="3" t="s">
        <v>50</v>
      </c>
      <c r="D28" s="2" t="s">
        <v>236</v>
      </c>
      <c r="E28" s="2" t="s">
        <v>241</v>
      </c>
      <c r="F28" s="18">
        <v>46170</v>
      </c>
      <c r="G28" s="18">
        <v>46184</v>
      </c>
      <c r="H28" s="3" t="s">
        <v>9</v>
      </c>
      <c r="I28" s="19">
        <v>0.5</v>
      </c>
      <c r="J28" s="10" t="str">
        <f t="shared" ca="1" si="0"/>
        <v>OVERDUE</v>
      </c>
    </row>
    <row r="29" spans="1:10" ht="20.100000000000001" customHeight="1">
      <c r="A29" s="11" t="s">
        <v>293</v>
      </c>
      <c r="B29" s="20" t="s">
        <v>294</v>
      </c>
      <c r="C29" s="21" t="s">
        <v>54</v>
      </c>
      <c r="D29" s="20" t="s">
        <v>240</v>
      </c>
      <c r="E29" s="20" t="s">
        <v>245</v>
      </c>
      <c r="F29" s="22">
        <v>46171</v>
      </c>
      <c r="G29" s="22">
        <v>46185</v>
      </c>
      <c r="H29" s="21" t="s">
        <v>11</v>
      </c>
      <c r="I29" s="23">
        <v>1</v>
      </c>
      <c r="J29" s="13" t="str">
        <f t="shared" ca="1" si="0"/>
        <v>Completed</v>
      </c>
    </row>
    <row r="30" spans="1:10" ht="20.100000000000001" customHeight="1">
      <c r="A30" s="8" t="s">
        <v>295</v>
      </c>
      <c r="B30" s="2" t="s">
        <v>296</v>
      </c>
      <c r="C30" s="3" t="s">
        <v>58</v>
      </c>
      <c r="D30" s="2" t="s">
        <v>244</v>
      </c>
      <c r="E30" s="2" t="s">
        <v>233</v>
      </c>
      <c r="F30" s="18">
        <v>46172</v>
      </c>
      <c r="G30" s="18">
        <v>46186</v>
      </c>
      <c r="H30" s="3" t="s">
        <v>12</v>
      </c>
      <c r="I30" s="19">
        <v>0.5</v>
      </c>
      <c r="J30" s="10" t="str">
        <f t="shared" ca="1" si="0"/>
        <v>OVERDUE</v>
      </c>
    </row>
    <row r="31" spans="1:10" ht="20.100000000000001" customHeight="1">
      <c r="A31" s="11" t="s">
        <v>297</v>
      </c>
      <c r="B31" s="20" t="s">
        <v>298</v>
      </c>
      <c r="C31" s="21" t="s">
        <v>20</v>
      </c>
      <c r="D31" s="20" t="s">
        <v>248</v>
      </c>
      <c r="E31" s="20" t="s">
        <v>237</v>
      </c>
      <c r="F31" s="22">
        <v>46173</v>
      </c>
      <c r="G31" s="22">
        <v>46187</v>
      </c>
      <c r="H31" s="21" t="s">
        <v>5</v>
      </c>
      <c r="I31" s="23">
        <v>0</v>
      </c>
      <c r="J31" s="13" t="str">
        <f t="shared" ca="1" si="0"/>
        <v>OVERDUE</v>
      </c>
    </row>
    <row r="32" spans="1:10" ht="20.100000000000001" customHeight="1">
      <c r="A32" s="8" t="s">
        <v>299</v>
      </c>
      <c r="B32" s="2" t="s">
        <v>300</v>
      </c>
      <c r="C32" s="3" t="s">
        <v>25</v>
      </c>
      <c r="D32" s="2" t="s">
        <v>232</v>
      </c>
      <c r="E32" s="2" t="s">
        <v>241</v>
      </c>
      <c r="F32" s="18">
        <v>46174</v>
      </c>
      <c r="G32" s="18">
        <v>46188</v>
      </c>
      <c r="H32" s="3" t="s">
        <v>7</v>
      </c>
      <c r="I32" s="19">
        <v>0.5</v>
      </c>
      <c r="J32" s="10" t="str">
        <f t="shared" ca="1" si="0"/>
        <v>On Track</v>
      </c>
    </row>
    <row r="33" spans="1:10" ht="20.100000000000001" customHeight="1">
      <c r="A33" s="11" t="s">
        <v>301</v>
      </c>
      <c r="B33" s="20" t="s">
        <v>302</v>
      </c>
      <c r="C33" s="21" t="s">
        <v>29</v>
      </c>
      <c r="D33" s="20" t="s">
        <v>236</v>
      </c>
      <c r="E33" s="20" t="s">
        <v>245</v>
      </c>
      <c r="F33" s="22">
        <v>46175</v>
      </c>
      <c r="G33" s="22">
        <v>46189</v>
      </c>
      <c r="H33" s="21" t="s">
        <v>9</v>
      </c>
      <c r="I33" s="23">
        <v>0.5</v>
      </c>
      <c r="J33" s="13" t="str">
        <f t="shared" ca="1" si="0"/>
        <v>On Track</v>
      </c>
    </row>
    <row r="34" spans="1:10" ht="20.100000000000001" customHeight="1">
      <c r="A34" s="8" t="s">
        <v>303</v>
      </c>
      <c r="B34" s="2" t="s">
        <v>304</v>
      </c>
      <c r="C34" s="3" t="s">
        <v>33</v>
      </c>
      <c r="D34" s="2" t="s">
        <v>240</v>
      </c>
      <c r="E34" s="2" t="s">
        <v>233</v>
      </c>
      <c r="F34" s="18">
        <v>46176</v>
      </c>
      <c r="G34" s="18">
        <v>46190</v>
      </c>
      <c r="H34" s="3" t="s">
        <v>11</v>
      </c>
      <c r="I34" s="19">
        <v>1</v>
      </c>
      <c r="J34" s="10" t="str">
        <f t="shared" ref="J34:J51" ca="1" si="1">IF(H34="Approved", "Completed", IF(G34&lt;TODAY(), "OVERDUE", "On Track"))</f>
        <v>Completed</v>
      </c>
    </row>
    <row r="35" spans="1:10" ht="20.100000000000001" customHeight="1">
      <c r="A35" s="11" t="s">
        <v>305</v>
      </c>
      <c r="B35" s="20" t="s">
        <v>306</v>
      </c>
      <c r="C35" s="21" t="s">
        <v>37</v>
      </c>
      <c r="D35" s="20" t="s">
        <v>244</v>
      </c>
      <c r="E35" s="20" t="s">
        <v>237</v>
      </c>
      <c r="F35" s="22">
        <v>46177</v>
      </c>
      <c r="G35" s="22">
        <v>46191</v>
      </c>
      <c r="H35" s="21" t="s">
        <v>12</v>
      </c>
      <c r="I35" s="23">
        <v>0.5</v>
      </c>
      <c r="J35" s="13" t="str">
        <f t="shared" ca="1" si="1"/>
        <v>On Track</v>
      </c>
    </row>
    <row r="36" spans="1:10" ht="20.100000000000001" customHeight="1">
      <c r="A36" s="8" t="s">
        <v>307</v>
      </c>
      <c r="B36" s="2" t="s">
        <v>308</v>
      </c>
      <c r="C36" s="3" t="s">
        <v>41</v>
      </c>
      <c r="D36" s="2" t="s">
        <v>248</v>
      </c>
      <c r="E36" s="2" t="s">
        <v>241</v>
      </c>
      <c r="F36" s="18">
        <v>46178</v>
      </c>
      <c r="G36" s="18">
        <v>46192</v>
      </c>
      <c r="H36" s="3" t="s">
        <v>5</v>
      </c>
      <c r="I36" s="19">
        <v>0</v>
      </c>
      <c r="J36" s="10" t="str">
        <f t="shared" ca="1" si="1"/>
        <v>On Track</v>
      </c>
    </row>
    <row r="37" spans="1:10" ht="20.100000000000001" customHeight="1">
      <c r="A37" s="11" t="s">
        <v>309</v>
      </c>
      <c r="B37" s="20" t="s">
        <v>310</v>
      </c>
      <c r="C37" s="21" t="s">
        <v>45</v>
      </c>
      <c r="D37" s="20" t="s">
        <v>232</v>
      </c>
      <c r="E37" s="20" t="s">
        <v>245</v>
      </c>
      <c r="F37" s="22">
        <v>46179</v>
      </c>
      <c r="G37" s="22">
        <v>46193</v>
      </c>
      <c r="H37" s="21" t="s">
        <v>7</v>
      </c>
      <c r="I37" s="23">
        <v>0.5</v>
      </c>
      <c r="J37" s="13" t="str">
        <f t="shared" ca="1" si="1"/>
        <v>On Track</v>
      </c>
    </row>
    <row r="38" spans="1:10" ht="20.100000000000001" customHeight="1">
      <c r="A38" s="8" t="s">
        <v>311</v>
      </c>
      <c r="B38" s="2" t="s">
        <v>312</v>
      </c>
      <c r="C38" s="3" t="s">
        <v>50</v>
      </c>
      <c r="D38" s="2" t="s">
        <v>236</v>
      </c>
      <c r="E38" s="2" t="s">
        <v>233</v>
      </c>
      <c r="F38" s="18">
        <v>46180</v>
      </c>
      <c r="G38" s="18">
        <v>46194</v>
      </c>
      <c r="H38" s="3" t="s">
        <v>9</v>
      </c>
      <c r="I38" s="19">
        <v>0.5</v>
      </c>
      <c r="J38" s="10" t="str">
        <f t="shared" ca="1" si="1"/>
        <v>On Track</v>
      </c>
    </row>
    <row r="39" spans="1:10" ht="20.100000000000001" customHeight="1">
      <c r="A39" s="11" t="s">
        <v>313</v>
      </c>
      <c r="B39" s="20" t="s">
        <v>314</v>
      </c>
      <c r="C39" s="21" t="s">
        <v>54</v>
      </c>
      <c r="D39" s="20" t="s">
        <v>240</v>
      </c>
      <c r="E39" s="20" t="s">
        <v>237</v>
      </c>
      <c r="F39" s="22">
        <v>46181</v>
      </c>
      <c r="G39" s="22">
        <v>46195</v>
      </c>
      <c r="H39" s="21" t="s">
        <v>11</v>
      </c>
      <c r="I39" s="23">
        <v>1</v>
      </c>
      <c r="J39" s="13" t="str">
        <f t="shared" ca="1" si="1"/>
        <v>Completed</v>
      </c>
    </row>
    <row r="40" spans="1:10" ht="20.100000000000001" customHeight="1">
      <c r="A40" s="8" t="s">
        <v>315</v>
      </c>
      <c r="B40" s="2" t="s">
        <v>316</v>
      </c>
      <c r="C40" s="3" t="s">
        <v>58</v>
      </c>
      <c r="D40" s="2" t="s">
        <v>244</v>
      </c>
      <c r="E40" s="2" t="s">
        <v>241</v>
      </c>
      <c r="F40" s="18">
        <v>46182</v>
      </c>
      <c r="G40" s="18">
        <v>46196</v>
      </c>
      <c r="H40" s="3" t="s">
        <v>12</v>
      </c>
      <c r="I40" s="19">
        <v>0.5</v>
      </c>
      <c r="J40" s="10" t="str">
        <f t="shared" ca="1" si="1"/>
        <v>On Track</v>
      </c>
    </row>
    <row r="41" spans="1:10" ht="20.100000000000001" customHeight="1">
      <c r="A41" s="11" t="s">
        <v>317</v>
      </c>
      <c r="B41" s="20" t="s">
        <v>318</v>
      </c>
      <c r="C41" s="21" t="s">
        <v>20</v>
      </c>
      <c r="D41" s="20" t="s">
        <v>248</v>
      </c>
      <c r="E41" s="20" t="s">
        <v>245</v>
      </c>
      <c r="F41" s="22">
        <v>46183</v>
      </c>
      <c r="G41" s="22">
        <v>46197</v>
      </c>
      <c r="H41" s="21" t="s">
        <v>5</v>
      </c>
      <c r="I41" s="23">
        <v>0</v>
      </c>
      <c r="J41" s="13" t="str">
        <f t="shared" ca="1" si="1"/>
        <v>On Track</v>
      </c>
    </row>
    <row r="42" spans="1:10" ht="20.100000000000001" customHeight="1">
      <c r="A42" s="8" t="s">
        <v>319</v>
      </c>
      <c r="B42" s="2" t="s">
        <v>320</v>
      </c>
      <c r="C42" s="3" t="s">
        <v>25</v>
      </c>
      <c r="D42" s="2" t="s">
        <v>232</v>
      </c>
      <c r="E42" s="2" t="s">
        <v>233</v>
      </c>
      <c r="F42" s="18">
        <v>46184</v>
      </c>
      <c r="G42" s="18">
        <v>46198</v>
      </c>
      <c r="H42" s="3" t="s">
        <v>7</v>
      </c>
      <c r="I42" s="19">
        <v>0.5</v>
      </c>
      <c r="J42" s="10" t="str">
        <f t="shared" ca="1" si="1"/>
        <v>On Track</v>
      </c>
    </row>
    <row r="43" spans="1:10" ht="20.100000000000001" customHeight="1">
      <c r="A43" s="11" t="s">
        <v>321</v>
      </c>
      <c r="B43" s="20" t="s">
        <v>322</v>
      </c>
      <c r="C43" s="21" t="s">
        <v>29</v>
      </c>
      <c r="D43" s="20" t="s">
        <v>236</v>
      </c>
      <c r="E43" s="20" t="s">
        <v>237</v>
      </c>
      <c r="F43" s="22">
        <v>46185</v>
      </c>
      <c r="G43" s="22">
        <v>46199</v>
      </c>
      <c r="H43" s="21" t="s">
        <v>9</v>
      </c>
      <c r="I43" s="23">
        <v>0.5</v>
      </c>
      <c r="J43" s="13" t="str">
        <f t="shared" ca="1" si="1"/>
        <v>On Track</v>
      </c>
    </row>
    <row r="44" spans="1:10" ht="20.100000000000001" customHeight="1">
      <c r="A44" s="8" t="s">
        <v>323</v>
      </c>
      <c r="B44" s="2" t="s">
        <v>324</v>
      </c>
      <c r="C44" s="3" t="s">
        <v>33</v>
      </c>
      <c r="D44" s="2" t="s">
        <v>240</v>
      </c>
      <c r="E44" s="2" t="s">
        <v>241</v>
      </c>
      <c r="F44" s="18">
        <v>46186</v>
      </c>
      <c r="G44" s="18">
        <v>46200</v>
      </c>
      <c r="H44" s="3" t="s">
        <v>11</v>
      </c>
      <c r="I44" s="19">
        <v>1</v>
      </c>
      <c r="J44" s="10" t="str">
        <f t="shared" ca="1" si="1"/>
        <v>Completed</v>
      </c>
    </row>
    <row r="45" spans="1:10" ht="20.100000000000001" customHeight="1">
      <c r="A45" s="11" t="s">
        <v>325</v>
      </c>
      <c r="B45" s="20" t="s">
        <v>326</v>
      </c>
      <c r="C45" s="21" t="s">
        <v>37</v>
      </c>
      <c r="D45" s="20" t="s">
        <v>244</v>
      </c>
      <c r="E45" s="20" t="s">
        <v>245</v>
      </c>
      <c r="F45" s="22">
        <v>46187</v>
      </c>
      <c r="G45" s="22">
        <v>46201</v>
      </c>
      <c r="H45" s="21" t="s">
        <v>12</v>
      </c>
      <c r="I45" s="23">
        <v>0.5</v>
      </c>
      <c r="J45" s="13" t="str">
        <f t="shared" ca="1" si="1"/>
        <v>On Track</v>
      </c>
    </row>
    <row r="46" spans="1:10" ht="20.100000000000001" customHeight="1">
      <c r="A46" s="8" t="s">
        <v>327</v>
      </c>
      <c r="B46" s="2" t="s">
        <v>328</v>
      </c>
      <c r="C46" s="3" t="s">
        <v>41</v>
      </c>
      <c r="D46" s="2" t="s">
        <v>248</v>
      </c>
      <c r="E46" s="2" t="s">
        <v>233</v>
      </c>
      <c r="F46" s="18">
        <v>46188</v>
      </c>
      <c r="G46" s="18">
        <v>46202</v>
      </c>
      <c r="H46" s="3" t="s">
        <v>5</v>
      </c>
      <c r="I46" s="19">
        <v>0</v>
      </c>
      <c r="J46" s="10" t="str">
        <f t="shared" ca="1" si="1"/>
        <v>On Track</v>
      </c>
    </row>
    <row r="47" spans="1:10" ht="20.100000000000001" customHeight="1">
      <c r="A47" s="11" t="s">
        <v>329</v>
      </c>
      <c r="B47" s="20" t="s">
        <v>330</v>
      </c>
      <c r="C47" s="21" t="s">
        <v>45</v>
      </c>
      <c r="D47" s="20" t="s">
        <v>232</v>
      </c>
      <c r="E47" s="20" t="s">
        <v>237</v>
      </c>
      <c r="F47" s="22">
        <v>46189</v>
      </c>
      <c r="G47" s="22">
        <v>46203</v>
      </c>
      <c r="H47" s="21" t="s">
        <v>7</v>
      </c>
      <c r="I47" s="23">
        <v>0.5</v>
      </c>
      <c r="J47" s="13" t="str">
        <f t="shared" ca="1" si="1"/>
        <v>On Track</v>
      </c>
    </row>
    <row r="48" spans="1:10" ht="20.100000000000001" customHeight="1">
      <c r="A48" s="8" t="s">
        <v>331</v>
      </c>
      <c r="B48" s="2" t="s">
        <v>332</v>
      </c>
      <c r="C48" s="3" t="s">
        <v>50</v>
      </c>
      <c r="D48" s="2" t="s">
        <v>236</v>
      </c>
      <c r="E48" s="2" t="s">
        <v>241</v>
      </c>
      <c r="F48" s="18">
        <v>46190</v>
      </c>
      <c r="G48" s="18">
        <v>46204</v>
      </c>
      <c r="H48" s="3" t="s">
        <v>9</v>
      </c>
      <c r="I48" s="19">
        <v>0.5</v>
      </c>
      <c r="J48" s="10" t="str">
        <f t="shared" ca="1" si="1"/>
        <v>On Track</v>
      </c>
    </row>
    <row r="49" spans="1:10" ht="20.100000000000001" customHeight="1">
      <c r="A49" s="11" t="s">
        <v>333</v>
      </c>
      <c r="B49" s="20" t="s">
        <v>334</v>
      </c>
      <c r="C49" s="21" t="s">
        <v>54</v>
      </c>
      <c r="D49" s="20" t="s">
        <v>240</v>
      </c>
      <c r="E49" s="20" t="s">
        <v>245</v>
      </c>
      <c r="F49" s="22">
        <v>46191</v>
      </c>
      <c r="G49" s="22">
        <v>46205</v>
      </c>
      <c r="H49" s="21" t="s">
        <v>11</v>
      </c>
      <c r="I49" s="23">
        <v>1</v>
      </c>
      <c r="J49" s="13" t="str">
        <f t="shared" ca="1" si="1"/>
        <v>Completed</v>
      </c>
    </row>
    <row r="50" spans="1:10" ht="20.100000000000001" customHeight="1">
      <c r="A50" s="8" t="s">
        <v>335</v>
      </c>
      <c r="B50" s="2" t="s">
        <v>336</v>
      </c>
      <c r="C50" s="3" t="s">
        <v>58</v>
      </c>
      <c r="D50" s="2" t="s">
        <v>244</v>
      </c>
      <c r="E50" s="2" t="s">
        <v>233</v>
      </c>
      <c r="F50" s="18">
        <v>46192</v>
      </c>
      <c r="G50" s="18">
        <v>46206</v>
      </c>
      <c r="H50" s="3" t="s">
        <v>12</v>
      </c>
      <c r="I50" s="19">
        <v>0.5</v>
      </c>
      <c r="J50" s="10" t="str">
        <f t="shared" ca="1" si="1"/>
        <v>On Track</v>
      </c>
    </row>
    <row r="51" spans="1:10" ht="20.100000000000001" customHeight="1">
      <c r="A51" s="24" t="s">
        <v>337</v>
      </c>
      <c r="B51" s="25" t="s">
        <v>338</v>
      </c>
      <c r="C51" s="26" t="s">
        <v>20</v>
      </c>
      <c r="D51" s="25" t="s">
        <v>248</v>
      </c>
      <c r="E51" s="25" t="s">
        <v>237</v>
      </c>
      <c r="F51" s="27">
        <v>46193</v>
      </c>
      <c r="G51" s="27">
        <v>46207</v>
      </c>
      <c r="H51" s="26" t="s">
        <v>5</v>
      </c>
      <c r="I51" s="28">
        <v>0</v>
      </c>
      <c r="J51" s="29" t="str">
        <f t="shared" ca="1" si="1"/>
        <v>On Track</v>
      </c>
    </row>
  </sheetData>
  <conditionalFormatting sqref="H2:H51">
    <cfRule type="cellIs" dxfId="45" priority="5" operator="equal">
      <formula>"In Progress"</formula>
    </cfRule>
    <cfRule type="cellIs" dxfId="44" priority="6" operator="equal">
      <formula>"Review"</formula>
    </cfRule>
    <cfRule type="cellIs" dxfId="43" priority="7" operator="equal">
      <formula>"Approved"</formula>
    </cfRule>
    <cfRule type="cellIs" dxfId="42" priority="4" operator="equal">
      <formula>"On Hold"</formula>
    </cfRule>
    <cfRule type="cellIs" dxfId="41" priority="3" operator="equal">
      <formula>"Briefing"</formula>
    </cfRule>
  </conditionalFormatting>
  <conditionalFormatting sqref="J2:J51">
    <cfRule type="cellIs" dxfId="38" priority="8" operator="equal">
      <formula>"OVERDUE"</formula>
    </cfRule>
    <cfRule type="cellIs" dxfId="39" priority="2" operator="equal">
      <formula>"Completed"</formula>
    </cfRule>
    <cfRule type="cellIs" dxfId="40" priority="1" operator="equal">
      <formula>"On Track"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2" sqref="C2"/>
    </sheetView>
  </sheetViews>
  <sheetFormatPr defaultRowHeight="15"/>
  <cols>
    <col min="1" max="1" width="16.85546875" bestFit="1" customWidth="1"/>
    <col min="2" max="2" width="14.42578125" bestFit="1" customWidth="1"/>
    <col min="3" max="3" width="16.28515625" bestFit="1" customWidth="1"/>
    <col min="4" max="4" width="23.7109375" bestFit="1" customWidth="1"/>
    <col min="5" max="5" width="14.85546875" bestFit="1" customWidth="1"/>
    <col min="6" max="6" width="21.140625" bestFit="1" customWidth="1"/>
  </cols>
  <sheetData>
    <row r="1" spans="1:6" ht="26.1" customHeight="1">
      <c r="A1" s="1" t="s">
        <v>339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</row>
    <row r="2" spans="1:6" ht="20.100000000000001" customHeight="1">
      <c r="A2" s="2" t="s">
        <v>245</v>
      </c>
      <c r="B2" s="2" t="s">
        <v>345</v>
      </c>
      <c r="C2" s="3">
        <f>COUNTIFS('Project Pipeline'!E$2:E$51, A2,'Project Pipeline'!H$2:H$51, "&lt;&gt;Approved")</f>
        <v>9</v>
      </c>
      <c r="D2" s="3">
        <v>40</v>
      </c>
      <c r="E2" s="3">
        <v>10</v>
      </c>
      <c r="F2" s="4">
        <f>E2/D2</f>
        <v>0.25</v>
      </c>
    </row>
    <row r="3" spans="1:6" ht="20.100000000000001" customHeight="1">
      <c r="A3" s="2" t="s">
        <v>233</v>
      </c>
      <c r="B3" s="2" t="s">
        <v>346</v>
      </c>
      <c r="C3" s="3">
        <f>COUNTIFS('Project Pipeline'!E$2:E$51, A3, 'Project Pipeline'!H$2:H$51, "&lt;&gt;Approved")</f>
        <v>11</v>
      </c>
      <c r="D3" s="3">
        <v>40</v>
      </c>
      <c r="E3" s="3">
        <v>20</v>
      </c>
      <c r="F3" s="4">
        <f>E3/D3</f>
        <v>0.5</v>
      </c>
    </row>
    <row r="4" spans="1:6" ht="20.100000000000001" customHeight="1">
      <c r="A4" s="2" t="s">
        <v>237</v>
      </c>
      <c r="B4" s="2" t="s">
        <v>347</v>
      </c>
      <c r="C4" s="3">
        <f>COUNTIFS('Project Pipeline'!E$2:E$51, A4, 'Project Pipeline'!H$2:H$51, "&lt;&gt;Approved")</f>
        <v>11</v>
      </c>
      <c r="D4" s="3">
        <v>40</v>
      </c>
      <c r="E4" s="3">
        <v>30</v>
      </c>
      <c r="F4" s="4">
        <f>E4/D4</f>
        <v>0.75</v>
      </c>
    </row>
    <row r="5" spans="1:6" ht="20.100000000000001" customHeight="1">
      <c r="A5" s="2" t="s">
        <v>241</v>
      </c>
      <c r="B5" s="2" t="s">
        <v>348</v>
      </c>
      <c r="C5" s="3">
        <f>COUNTIFS('Project Pipeline'!E$2:E$51, A5, 'Project Pipeline'!H$2:H$51, "&lt;&gt;Approved")</f>
        <v>9</v>
      </c>
      <c r="D5" s="3">
        <v>40</v>
      </c>
      <c r="E5" s="3">
        <v>40</v>
      </c>
      <c r="F5" s="4">
        <f>E5/D5</f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selection activeCell="D8" sqref="D8"/>
    </sheetView>
  </sheetViews>
  <sheetFormatPr defaultRowHeight="15"/>
  <cols>
    <col min="1" max="1" width="14" customWidth="1"/>
    <col min="2" max="2" width="18" customWidth="1"/>
    <col min="3" max="3" width="20.42578125" customWidth="1"/>
    <col min="4" max="4" width="16.28515625" customWidth="1"/>
    <col min="5" max="5" width="23.85546875" customWidth="1"/>
    <col min="6" max="6" width="18" customWidth="1"/>
  </cols>
  <sheetData>
    <row r="1" spans="1:6" ht="26.1" customHeight="1">
      <c r="A1" s="5" t="s">
        <v>222</v>
      </c>
      <c r="B1" s="6" t="s">
        <v>349</v>
      </c>
      <c r="C1" s="6" t="s">
        <v>350</v>
      </c>
      <c r="D1" s="6" t="s">
        <v>351</v>
      </c>
      <c r="E1" s="6" t="s">
        <v>352</v>
      </c>
      <c r="F1" s="7" t="s">
        <v>353</v>
      </c>
    </row>
    <row r="2" spans="1:6" ht="20.100000000000001" customHeight="1">
      <c r="A2" s="8" t="s">
        <v>230</v>
      </c>
      <c r="B2" s="9">
        <v>1600</v>
      </c>
      <c r="C2" s="9">
        <v>1600</v>
      </c>
      <c r="D2" s="9">
        <v>800</v>
      </c>
      <c r="E2" s="9">
        <f t="shared" ref="E2:E33" si="0">B2-D2</f>
        <v>800</v>
      </c>
      <c r="F2" s="10" t="s">
        <v>354</v>
      </c>
    </row>
    <row r="3" spans="1:6" ht="20.100000000000001" customHeight="1">
      <c r="A3" s="11" t="s">
        <v>234</v>
      </c>
      <c r="B3" s="12">
        <v>1700</v>
      </c>
      <c r="C3" s="12">
        <v>1700</v>
      </c>
      <c r="D3" s="12">
        <v>850</v>
      </c>
      <c r="E3" s="12">
        <f t="shared" si="0"/>
        <v>850</v>
      </c>
      <c r="F3" s="13" t="s">
        <v>354</v>
      </c>
    </row>
    <row r="4" spans="1:6" ht="20.100000000000001" customHeight="1">
      <c r="A4" s="8" t="s">
        <v>238</v>
      </c>
      <c r="B4" s="9">
        <v>1800</v>
      </c>
      <c r="C4" s="9">
        <v>1800</v>
      </c>
      <c r="D4" s="9">
        <v>1800</v>
      </c>
      <c r="E4" s="9">
        <f t="shared" si="0"/>
        <v>0</v>
      </c>
      <c r="F4" s="10" t="s">
        <v>355</v>
      </c>
    </row>
    <row r="5" spans="1:6" ht="20.100000000000001" customHeight="1">
      <c r="A5" s="11" t="s">
        <v>242</v>
      </c>
      <c r="B5" s="12">
        <v>1900</v>
      </c>
      <c r="C5" s="12">
        <v>1900</v>
      </c>
      <c r="D5" s="12">
        <v>950</v>
      </c>
      <c r="E5" s="12">
        <f t="shared" si="0"/>
        <v>950</v>
      </c>
      <c r="F5" s="13" t="s">
        <v>354</v>
      </c>
    </row>
    <row r="6" spans="1:6" ht="20.100000000000001" customHeight="1">
      <c r="A6" s="8" t="s">
        <v>246</v>
      </c>
      <c r="B6" s="9">
        <v>2000</v>
      </c>
      <c r="C6" s="9">
        <v>2000</v>
      </c>
      <c r="D6" s="9">
        <v>0</v>
      </c>
      <c r="E6" s="9">
        <f t="shared" si="0"/>
        <v>2000</v>
      </c>
      <c r="F6" s="10" t="s">
        <v>356</v>
      </c>
    </row>
    <row r="7" spans="1:6" ht="20.100000000000001" customHeight="1">
      <c r="A7" s="11" t="s">
        <v>249</v>
      </c>
      <c r="B7" s="12">
        <v>2100</v>
      </c>
      <c r="C7" s="12">
        <v>2100</v>
      </c>
      <c r="D7" s="12">
        <v>2100</v>
      </c>
      <c r="E7" s="12">
        <f t="shared" si="0"/>
        <v>0</v>
      </c>
      <c r="F7" s="13" t="s">
        <v>355</v>
      </c>
    </row>
    <row r="8" spans="1:6" ht="20.100000000000001" customHeight="1">
      <c r="A8" s="8" t="s">
        <v>251</v>
      </c>
      <c r="B8" s="9">
        <v>2200</v>
      </c>
      <c r="C8" s="9">
        <v>2200</v>
      </c>
      <c r="D8" s="9">
        <v>1100</v>
      </c>
      <c r="E8" s="9">
        <f t="shared" si="0"/>
        <v>1100</v>
      </c>
      <c r="F8" s="10" t="s">
        <v>354</v>
      </c>
    </row>
    <row r="9" spans="1:6" ht="20.100000000000001" customHeight="1">
      <c r="A9" s="11" t="s">
        <v>253</v>
      </c>
      <c r="B9" s="12">
        <v>2300</v>
      </c>
      <c r="C9" s="12">
        <v>2300</v>
      </c>
      <c r="D9" s="12">
        <v>1150</v>
      </c>
      <c r="E9" s="12">
        <f t="shared" si="0"/>
        <v>1150</v>
      </c>
      <c r="F9" s="13" t="s">
        <v>354</v>
      </c>
    </row>
    <row r="10" spans="1:6" ht="20.100000000000001" customHeight="1">
      <c r="A10" s="8" t="s">
        <v>255</v>
      </c>
      <c r="B10" s="9">
        <v>2400</v>
      </c>
      <c r="C10" s="9">
        <v>2400</v>
      </c>
      <c r="D10" s="9">
        <v>2400</v>
      </c>
      <c r="E10" s="9">
        <f t="shared" si="0"/>
        <v>0</v>
      </c>
      <c r="F10" s="10" t="s">
        <v>355</v>
      </c>
    </row>
    <row r="11" spans="1:6" ht="20.100000000000001" customHeight="1">
      <c r="A11" s="11" t="s">
        <v>257</v>
      </c>
      <c r="B11" s="12">
        <v>2500</v>
      </c>
      <c r="C11" s="12">
        <v>2500</v>
      </c>
      <c r="D11" s="12">
        <v>0</v>
      </c>
      <c r="E11" s="12">
        <f t="shared" si="0"/>
        <v>2500</v>
      </c>
      <c r="F11" s="13" t="s">
        <v>356</v>
      </c>
    </row>
    <row r="12" spans="1:6" ht="20.100000000000001" customHeight="1">
      <c r="A12" s="8" t="s">
        <v>259</v>
      </c>
      <c r="B12" s="9">
        <v>2600</v>
      </c>
      <c r="C12" s="9">
        <v>2600</v>
      </c>
      <c r="D12" s="9">
        <v>1300</v>
      </c>
      <c r="E12" s="9">
        <f t="shared" si="0"/>
        <v>1300</v>
      </c>
      <c r="F12" s="10" t="s">
        <v>354</v>
      </c>
    </row>
    <row r="13" spans="1:6" ht="20.100000000000001" customHeight="1">
      <c r="A13" s="11" t="s">
        <v>261</v>
      </c>
      <c r="B13" s="12">
        <v>2700</v>
      </c>
      <c r="C13" s="12">
        <v>2700</v>
      </c>
      <c r="D13" s="12">
        <v>2700</v>
      </c>
      <c r="E13" s="12">
        <f t="shared" si="0"/>
        <v>0</v>
      </c>
      <c r="F13" s="13" t="s">
        <v>355</v>
      </c>
    </row>
    <row r="14" spans="1:6" ht="20.100000000000001" customHeight="1">
      <c r="A14" s="8" t="s">
        <v>263</v>
      </c>
      <c r="B14" s="9">
        <v>2800</v>
      </c>
      <c r="C14" s="9">
        <v>2800</v>
      </c>
      <c r="D14" s="9">
        <v>1400</v>
      </c>
      <c r="E14" s="9">
        <f t="shared" si="0"/>
        <v>1400</v>
      </c>
      <c r="F14" s="10" t="s">
        <v>354</v>
      </c>
    </row>
    <row r="15" spans="1:6" ht="20.100000000000001" customHeight="1">
      <c r="A15" s="11" t="s">
        <v>265</v>
      </c>
      <c r="B15" s="12">
        <v>2900</v>
      </c>
      <c r="C15" s="12">
        <v>2900</v>
      </c>
      <c r="D15" s="12">
        <v>1450</v>
      </c>
      <c r="E15" s="12">
        <f t="shared" si="0"/>
        <v>1450</v>
      </c>
      <c r="F15" s="13" t="s">
        <v>354</v>
      </c>
    </row>
    <row r="16" spans="1:6" ht="20.100000000000001" customHeight="1">
      <c r="A16" s="8" t="s">
        <v>267</v>
      </c>
      <c r="B16" s="9">
        <v>3000</v>
      </c>
      <c r="C16" s="9">
        <v>3000</v>
      </c>
      <c r="D16" s="9">
        <v>3000</v>
      </c>
      <c r="E16" s="9">
        <f t="shared" si="0"/>
        <v>0</v>
      </c>
      <c r="F16" s="10" t="s">
        <v>355</v>
      </c>
    </row>
    <row r="17" spans="1:6" ht="20.100000000000001" customHeight="1">
      <c r="A17" s="11" t="s">
        <v>269</v>
      </c>
      <c r="B17" s="12">
        <v>3100</v>
      </c>
      <c r="C17" s="12">
        <v>3100</v>
      </c>
      <c r="D17" s="12">
        <v>1550</v>
      </c>
      <c r="E17" s="12">
        <f t="shared" si="0"/>
        <v>1550</v>
      </c>
      <c r="F17" s="13" t="s">
        <v>354</v>
      </c>
    </row>
    <row r="18" spans="1:6" ht="20.100000000000001" customHeight="1">
      <c r="A18" s="8" t="s">
        <v>271</v>
      </c>
      <c r="B18" s="9">
        <v>3200</v>
      </c>
      <c r="C18" s="9">
        <v>3200</v>
      </c>
      <c r="D18" s="9">
        <v>1600</v>
      </c>
      <c r="E18" s="9">
        <f t="shared" si="0"/>
        <v>1600</v>
      </c>
      <c r="F18" s="10" t="s">
        <v>354</v>
      </c>
    </row>
    <row r="19" spans="1:6" ht="20.100000000000001" customHeight="1">
      <c r="A19" s="11" t="s">
        <v>273</v>
      </c>
      <c r="B19" s="12">
        <v>3300</v>
      </c>
      <c r="C19" s="12">
        <v>3300</v>
      </c>
      <c r="D19" s="12">
        <v>3300</v>
      </c>
      <c r="E19" s="12">
        <f t="shared" si="0"/>
        <v>0</v>
      </c>
      <c r="F19" s="13" t="s">
        <v>355</v>
      </c>
    </row>
    <row r="20" spans="1:6" ht="20.100000000000001" customHeight="1">
      <c r="A20" s="8" t="s">
        <v>275</v>
      </c>
      <c r="B20" s="9">
        <v>3400</v>
      </c>
      <c r="C20" s="9">
        <v>3400</v>
      </c>
      <c r="D20" s="9">
        <v>1700</v>
      </c>
      <c r="E20" s="9">
        <f t="shared" si="0"/>
        <v>1700</v>
      </c>
      <c r="F20" s="10" t="s">
        <v>354</v>
      </c>
    </row>
    <row r="21" spans="1:6" ht="20.100000000000001" customHeight="1">
      <c r="A21" s="11" t="s">
        <v>277</v>
      </c>
      <c r="B21" s="12">
        <v>3500</v>
      </c>
      <c r="C21" s="12">
        <v>3500</v>
      </c>
      <c r="D21" s="12">
        <v>0</v>
      </c>
      <c r="E21" s="12">
        <f t="shared" si="0"/>
        <v>3500</v>
      </c>
      <c r="F21" s="13" t="s">
        <v>356</v>
      </c>
    </row>
    <row r="22" spans="1:6" ht="20.100000000000001" customHeight="1">
      <c r="A22" s="8" t="s">
        <v>279</v>
      </c>
      <c r="B22" s="9">
        <v>3600</v>
      </c>
      <c r="C22" s="9">
        <v>3600</v>
      </c>
      <c r="D22" s="9">
        <v>3600</v>
      </c>
      <c r="E22" s="9">
        <f t="shared" si="0"/>
        <v>0</v>
      </c>
      <c r="F22" s="10" t="s">
        <v>355</v>
      </c>
    </row>
    <row r="23" spans="1:6" ht="20.100000000000001" customHeight="1">
      <c r="A23" s="11" t="s">
        <v>281</v>
      </c>
      <c r="B23" s="12">
        <v>3700</v>
      </c>
      <c r="C23" s="12">
        <v>3700</v>
      </c>
      <c r="D23" s="12">
        <v>1850</v>
      </c>
      <c r="E23" s="12">
        <f t="shared" si="0"/>
        <v>1850</v>
      </c>
      <c r="F23" s="13" t="s">
        <v>354</v>
      </c>
    </row>
    <row r="24" spans="1:6" ht="20.100000000000001" customHeight="1">
      <c r="A24" s="8" t="s">
        <v>283</v>
      </c>
      <c r="B24" s="9">
        <v>3800</v>
      </c>
      <c r="C24" s="9">
        <v>3800</v>
      </c>
      <c r="D24" s="9">
        <v>1900</v>
      </c>
      <c r="E24" s="9">
        <f t="shared" si="0"/>
        <v>1900</v>
      </c>
      <c r="F24" s="10" t="s">
        <v>354</v>
      </c>
    </row>
    <row r="25" spans="1:6" ht="20.100000000000001" customHeight="1">
      <c r="A25" s="11" t="s">
        <v>285</v>
      </c>
      <c r="B25" s="12">
        <v>3900</v>
      </c>
      <c r="C25" s="12">
        <v>3900</v>
      </c>
      <c r="D25" s="12">
        <v>3900</v>
      </c>
      <c r="E25" s="12">
        <f t="shared" si="0"/>
        <v>0</v>
      </c>
      <c r="F25" s="13" t="s">
        <v>355</v>
      </c>
    </row>
    <row r="26" spans="1:6" ht="20.100000000000001" customHeight="1">
      <c r="A26" s="8" t="s">
        <v>287</v>
      </c>
      <c r="B26" s="9">
        <v>4000</v>
      </c>
      <c r="C26" s="9">
        <v>4000</v>
      </c>
      <c r="D26" s="9">
        <v>0</v>
      </c>
      <c r="E26" s="9">
        <f t="shared" si="0"/>
        <v>4000</v>
      </c>
      <c r="F26" s="10" t="s">
        <v>356</v>
      </c>
    </row>
    <row r="27" spans="1:6" ht="20.100000000000001" customHeight="1">
      <c r="A27" s="11" t="s">
        <v>289</v>
      </c>
      <c r="B27" s="12">
        <v>4100</v>
      </c>
      <c r="C27" s="12">
        <v>4100</v>
      </c>
      <c r="D27" s="12">
        <v>2050</v>
      </c>
      <c r="E27" s="12">
        <f t="shared" si="0"/>
        <v>2050</v>
      </c>
      <c r="F27" s="13" t="s">
        <v>354</v>
      </c>
    </row>
    <row r="28" spans="1:6" ht="20.100000000000001" customHeight="1">
      <c r="A28" s="8" t="s">
        <v>291</v>
      </c>
      <c r="B28" s="9">
        <v>4200</v>
      </c>
      <c r="C28" s="9">
        <v>4200</v>
      </c>
      <c r="D28" s="9">
        <v>4200</v>
      </c>
      <c r="E28" s="9">
        <f t="shared" si="0"/>
        <v>0</v>
      </c>
      <c r="F28" s="10" t="s">
        <v>355</v>
      </c>
    </row>
    <row r="29" spans="1:6" ht="20.100000000000001" customHeight="1">
      <c r="A29" s="11" t="s">
        <v>293</v>
      </c>
      <c r="B29" s="12">
        <v>4300</v>
      </c>
      <c r="C29" s="12">
        <v>4300</v>
      </c>
      <c r="D29" s="12">
        <v>2150</v>
      </c>
      <c r="E29" s="12">
        <f t="shared" si="0"/>
        <v>2150</v>
      </c>
      <c r="F29" s="13" t="s">
        <v>354</v>
      </c>
    </row>
    <row r="30" spans="1:6" ht="20.100000000000001" customHeight="1">
      <c r="A30" s="8" t="s">
        <v>295</v>
      </c>
      <c r="B30" s="9">
        <v>4400</v>
      </c>
      <c r="C30" s="9">
        <v>4400</v>
      </c>
      <c r="D30" s="9">
        <v>2200</v>
      </c>
      <c r="E30" s="9">
        <f t="shared" si="0"/>
        <v>2200</v>
      </c>
      <c r="F30" s="10" t="s">
        <v>354</v>
      </c>
    </row>
    <row r="31" spans="1:6" ht="20.100000000000001" customHeight="1">
      <c r="A31" s="11" t="s">
        <v>297</v>
      </c>
      <c r="B31" s="12">
        <v>4500</v>
      </c>
      <c r="C31" s="12">
        <v>4500</v>
      </c>
      <c r="D31" s="12">
        <v>4500</v>
      </c>
      <c r="E31" s="12">
        <f t="shared" si="0"/>
        <v>0</v>
      </c>
      <c r="F31" s="13" t="s">
        <v>355</v>
      </c>
    </row>
    <row r="32" spans="1:6" ht="20.100000000000001" customHeight="1">
      <c r="A32" s="8" t="s">
        <v>299</v>
      </c>
      <c r="B32" s="9">
        <v>4600</v>
      </c>
      <c r="C32" s="9">
        <v>4600</v>
      </c>
      <c r="D32" s="9">
        <v>2300</v>
      </c>
      <c r="E32" s="9">
        <f t="shared" si="0"/>
        <v>2300</v>
      </c>
      <c r="F32" s="10" t="s">
        <v>354</v>
      </c>
    </row>
    <row r="33" spans="1:6" ht="20.100000000000001" customHeight="1">
      <c r="A33" s="11" t="s">
        <v>301</v>
      </c>
      <c r="B33" s="12">
        <v>4700</v>
      </c>
      <c r="C33" s="12">
        <v>4700</v>
      </c>
      <c r="D33" s="12">
        <v>2350</v>
      </c>
      <c r="E33" s="12">
        <f t="shared" si="0"/>
        <v>2350</v>
      </c>
      <c r="F33" s="13" t="s">
        <v>354</v>
      </c>
    </row>
    <row r="34" spans="1:6" ht="20.100000000000001" customHeight="1">
      <c r="A34" s="8" t="s">
        <v>303</v>
      </c>
      <c r="B34" s="9">
        <v>4800</v>
      </c>
      <c r="C34" s="9">
        <v>4800</v>
      </c>
      <c r="D34" s="9">
        <v>4800</v>
      </c>
      <c r="E34" s="9">
        <f t="shared" ref="E34:E65" si="1">B34-D34</f>
        <v>0</v>
      </c>
      <c r="F34" s="10" t="s">
        <v>355</v>
      </c>
    </row>
    <row r="35" spans="1:6" ht="20.100000000000001" customHeight="1">
      <c r="A35" s="11" t="s">
        <v>305</v>
      </c>
      <c r="B35" s="12">
        <v>4900</v>
      </c>
      <c r="C35" s="12">
        <v>4900</v>
      </c>
      <c r="D35" s="12">
        <v>2450</v>
      </c>
      <c r="E35" s="12">
        <f t="shared" si="1"/>
        <v>2450</v>
      </c>
      <c r="F35" s="13" t="s">
        <v>354</v>
      </c>
    </row>
    <row r="36" spans="1:6" ht="20.100000000000001" customHeight="1">
      <c r="A36" s="8" t="s">
        <v>307</v>
      </c>
      <c r="B36" s="9">
        <v>5000</v>
      </c>
      <c r="C36" s="9">
        <v>5000</v>
      </c>
      <c r="D36" s="9">
        <v>0</v>
      </c>
      <c r="E36" s="9">
        <f t="shared" si="1"/>
        <v>5000</v>
      </c>
      <c r="F36" s="10" t="s">
        <v>356</v>
      </c>
    </row>
    <row r="37" spans="1:6" ht="20.100000000000001" customHeight="1">
      <c r="A37" s="11" t="s">
        <v>309</v>
      </c>
      <c r="B37" s="12">
        <v>5100</v>
      </c>
      <c r="C37" s="12">
        <v>5100</v>
      </c>
      <c r="D37" s="12">
        <v>5100</v>
      </c>
      <c r="E37" s="12">
        <f t="shared" si="1"/>
        <v>0</v>
      </c>
      <c r="F37" s="13" t="s">
        <v>355</v>
      </c>
    </row>
    <row r="38" spans="1:6" ht="20.100000000000001" customHeight="1">
      <c r="A38" s="8" t="s">
        <v>311</v>
      </c>
      <c r="B38" s="9">
        <v>5200</v>
      </c>
      <c r="C38" s="9">
        <v>5200</v>
      </c>
      <c r="D38" s="9">
        <v>2600</v>
      </c>
      <c r="E38" s="9">
        <f t="shared" si="1"/>
        <v>2600</v>
      </c>
      <c r="F38" s="10" t="s">
        <v>354</v>
      </c>
    </row>
    <row r="39" spans="1:6" ht="20.100000000000001" customHeight="1">
      <c r="A39" s="11" t="s">
        <v>313</v>
      </c>
      <c r="B39" s="12">
        <v>5300</v>
      </c>
      <c r="C39" s="12">
        <v>5300</v>
      </c>
      <c r="D39" s="12">
        <v>2650</v>
      </c>
      <c r="E39" s="12">
        <f t="shared" si="1"/>
        <v>2650</v>
      </c>
      <c r="F39" s="13" t="s">
        <v>354</v>
      </c>
    </row>
    <row r="40" spans="1:6" ht="20.100000000000001" customHeight="1">
      <c r="A40" s="8" t="s">
        <v>315</v>
      </c>
      <c r="B40" s="9">
        <v>5400</v>
      </c>
      <c r="C40" s="9">
        <v>5400</v>
      </c>
      <c r="D40" s="9">
        <v>5400</v>
      </c>
      <c r="E40" s="9">
        <f t="shared" si="1"/>
        <v>0</v>
      </c>
      <c r="F40" s="10" t="s">
        <v>355</v>
      </c>
    </row>
    <row r="41" spans="1:6" ht="20.100000000000001" customHeight="1">
      <c r="A41" s="11" t="s">
        <v>317</v>
      </c>
      <c r="B41" s="12">
        <v>5500</v>
      </c>
      <c r="C41" s="12">
        <v>5500</v>
      </c>
      <c r="D41" s="12">
        <v>0</v>
      </c>
      <c r="E41" s="12">
        <f t="shared" si="1"/>
        <v>5500</v>
      </c>
      <c r="F41" s="13" t="s">
        <v>356</v>
      </c>
    </row>
    <row r="42" spans="1:6" ht="20.100000000000001" customHeight="1">
      <c r="A42" s="8" t="s">
        <v>319</v>
      </c>
      <c r="B42" s="9">
        <v>5600</v>
      </c>
      <c r="C42" s="9">
        <v>5600</v>
      </c>
      <c r="D42" s="9">
        <v>2800</v>
      </c>
      <c r="E42" s="9">
        <f t="shared" si="1"/>
        <v>2800</v>
      </c>
      <c r="F42" s="10" t="s">
        <v>354</v>
      </c>
    </row>
    <row r="43" spans="1:6" ht="20.100000000000001" customHeight="1">
      <c r="A43" s="11" t="s">
        <v>321</v>
      </c>
      <c r="B43" s="12">
        <v>5700</v>
      </c>
      <c r="C43" s="12">
        <v>5700</v>
      </c>
      <c r="D43" s="12">
        <v>5700</v>
      </c>
      <c r="E43" s="12">
        <f t="shared" si="1"/>
        <v>0</v>
      </c>
      <c r="F43" s="13" t="s">
        <v>355</v>
      </c>
    </row>
    <row r="44" spans="1:6" ht="20.100000000000001" customHeight="1">
      <c r="A44" s="8" t="s">
        <v>323</v>
      </c>
      <c r="B44" s="9">
        <v>5800</v>
      </c>
      <c r="C44" s="9">
        <v>5800</v>
      </c>
      <c r="D44" s="9">
        <v>2900</v>
      </c>
      <c r="E44" s="9">
        <f t="shared" si="1"/>
        <v>2900</v>
      </c>
      <c r="F44" s="10" t="s">
        <v>354</v>
      </c>
    </row>
    <row r="45" spans="1:6" ht="20.100000000000001" customHeight="1">
      <c r="A45" s="11" t="s">
        <v>325</v>
      </c>
      <c r="B45" s="12">
        <v>5900</v>
      </c>
      <c r="C45" s="12">
        <v>5900</v>
      </c>
      <c r="D45" s="12">
        <v>2950</v>
      </c>
      <c r="E45" s="12">
        <f t="shared" si="1"/>
        <v>2950</v>
      </c>
      <c r="F45" s="13" t="s">
        <v>354</v>
      </c>
    </row>
    <row r="46" spans="1:6" ht="20.100000000000001" customHeight="1">
      <c r="A46" s="8" t="s">
        <v>327</v>
      </c>
      <c r="B46" s="9">
        <v>6000</v>
      </c>
      <c r="C46" s="9">
        <v>6000</v>
      </c>
      <c r="D46" s="9">
        <v>6000</v>
      </c>
      <c r="E46" s="9">
        <f t="shared" si="1"/>
        <v>0</v>
      </c>
      <c r="F46" s="10" t="s">
        <v>355</v>
      </c>
    </row>
    <row r="47" spans="1:6" ht="20.100000000000001" customHeight="1">
      <c r="A47" s="11" t="s">
        <v>329</v>
      </c>
      <c r="B47" s="12">
        <v>6100</v>
      </c>
      <c r="C47" s="12">
        <v>6100</v>
      </c>
      <c r="D47" s="12">
        <v>3050</v>
      </c>
      <c r="E47" s="12">
        <f t="shared" si="1"/>
        <v>3050</v>
      </c>
      <c r="F47" s="13" t="s">
        <v>354</v>
      </c>
    </row>
    <row r="48" spans="1:6" ht="20.100000000000001" customHeight="1">
      <c r="A48" s="8" t="s">
        <v>331</v>
      </c>
      <c r="B48" s="9">
        <v>6200</v>
      </c>
      <c r="C48" s="9">
        <v>6200</v>
      </c>
      <c r="D48" s="9">
        <v>3100</v>
      </c>
      <c r="E48" s="9">
        <f t="shared" si="1"/>
        <v>3100</v>
      </c>
      <c r="F48" s="10" t="s">
        <v>354</v>
      </c>
    </row>
    <row r="49" spans="1:6" ht="20.100000000000001" customHeight="1">
      <c r="A49" s="11" t="s">
        <v>333</v>
      </c>
      <c r="B49" s="12">
        <v>6300</v>
      </c>
      <c r="C49" s="12">
        <v>6300</v>
      </c>
      <c r="D49" s="12">
        <v>6300</v>
      </c>
      <c r="E49" s="12">
        <f t="shared" si="1"/>
        <v>0</v>
      </c>
      <c r="F49" s="13" t="s">
        <v>355</v>
      </c>
    </row>
    <row r="50" spans="1:6" ht="20.100000000000001" customHeight="1">
      <c r="A50" s="8" t="s">
        <v>335</v>
      </c>
      <c r="B50" s="9">
        <v>6400</v>
      </c>
      <c r="C50" s="9">
        <v>6400</v>
      </c>
      <c r="D50" s="9">
        <v>3200</v>
      </c>
      <c r="E50" s="9">
        <f t="shared" si="1"/>
        <v>3200</v>
      </c>
      <c r="F50" s="10" t="s">
        <v>354</v>
      </c>
    </row>
    <row r="51" spans="1:6" ht="20.100000000000001" customHeight="1">
      <c r="A51" s="11" t="s">
        <v>337</v>
      </c>
      <c r="B51" s="12">
        <v>6500</v>
      </c>
      <c r="C51" s="12">
        <v>6500</v>
      </c>
      <c r="D51" s="12">
        <v>0</v>
      </c>
      <c r="E51" s="12">
        <f t="shared" si="1"/>
        <v>6500</v>
      </c>
      <c r="F51" s="13" t="s">
        <v>356</v>
      </c>
    </row>
    <row r="52" spans="1:6" ht="16.5">
      <c r="A52" s="14" t="s">
        <v>357</v>
      </c>
      <c r="B52" s="15">
        <f>SUM(B2:B51)</f>
        <v>202500</v>
      </c>
      <c r="C52" s="15">
        <f>SUM(C2:C51)</f>
        <v>202500</v>
      </c>
      <c r="D52" s="15">
        <f>SUM(D2:D51)</f>
        <v>119150</v>
      </c>
      <c r="E52" s="15">
        <f>SUM(E2:E51)</f>
        <v>83350</v>
      </c>
      <c r="F52" s="16"/>
    </row>
  </sheetData>
  <conditionalFormatting sqref="F2:F51">
    <cfRule type="cellIs" dxfId="35" priority="3" operator="equal">
      <formula>"Paid"</formula>
    </cfRule>
    <cfRule type="cellIs" dxfId="36" priority="2" operator="equal">
      <formula>"Unsent"</formula>
    </cfRule>
    <cfRule type="cellIs" dxfId="37" priority="1" operator="equal">
      <formula>"Partially Paid"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Client Database</vt:lpstr>
      <vt:lpstr>Project Pipeline</vt:lpstr>
      <vt:lpstr>Team Allocation</vt:lpstr>
      <vt:lpstr>Financial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rex</cp:lastModifiedBy>
  <dcterms:created xsi:type="dcterms:W3CDTF">2026-06-11T03:22:17Z</dcterms:created>
  <dcterms:modified xsi:type="dcterms:W3CDTF">2026-06-15T05:40:26Z</dcterms:modified>
</cp:coreProperties>
</file>